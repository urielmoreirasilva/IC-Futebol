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82" documentId="13_ncr:1_{EA803510-D6B5-4B21-BA50-4E621CDAA8E7}" xr6:coauthVersionLast="47" xr6:coauthVersionMax="47" xr10:uidLastSave="{5B59A1A7-4550-4361-8061-D8DA52DE7172}"/>
  <bookViews>
    <workbookView xWindow="-110" yWindow="-110" windowWidth="19420" windowHeight="10300" xr2:uid="{00000000-000D-0000-FFFF-FFFF00000000}"/>
  </bookViews>
  <sheets>
    <sheet name="Latest_Results" sheetId="1" r:id="rId1"/>
  </sheets>
  <definedNames>
    <definedName name="_xlnm._FilterDatabase" localSheetId="0" hidden="1">Latest_Results!#REF!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8" i="1" l="1"/>
  <c r="J101" i="1" l="1"/>
  <c r="J100" i="1"/>
  <c r="J99" i="1"/>
  <c r="J98" i="1"/>
  <c r="J97" i="1"/>
  <c r="J96" i="1"/>
  <c r="J95" i="1"/>
  <c r="J94" i="1"/>
  <c r="J2" i="1"/>
  <c r="J3" i="1"/>
  <c r="J4" i="1"/>
  <c r="J5" i="1"/>
  <c r="J6" i="1"/>
  <c r="J7" i="1"/>
  <c r="J8" i="1"/>
  <c r="J9" i="1"/>
  <c r="J10" i="1"/>
  <c r="J11" i="1"/>
  <c r="J12" i="1"/>
  <c r="J13" i="1"/>
  <c r="J15" i="1"/>
  <c r="J14" i="1"/>
  <c r="J16" i="1"/>
  <c r="J17" i="1"/>
  <c r="J18" i="1"/>
  <c r="J19" i="1"/>
  <c r="J20" i="1"/>
  <c r="J21" i="1"/>
  <c r="J22" i="1"/>
  <c r="J24" i="1"/>
  <c r="J23" i="1"/>
  <c r="J26" i="1"/>
  <c r="J25" i="1"/>
  <c r="J27" i="1"/>
  <c r="J28" i="1"/>
  <c r="J29" i="1"/>
  <c r="J31" i="1"/>
  <c r="J30" i="1"/>
  <c r="J32" i="1"/>
  <c r="J33" i="1"/>
  <c r="J34" i="1"/>
  <c r="J35" i="1"/>
  <c r="J36" i="1"/>
  <c r="J42" i="1"/>
  <c r="J37" i="1"/>
  <c r="J38" i="1"/>
  <c r="J39" i="1"/>
  <c r="J40" i="1"/>
  <c r="J41" i="1"/>
  <c r="J43" i="1"/>
  <c r="J44" i="1"/>
  <c r="J47" i="1"/>
  <c r="J46" i="1"/>
  <c r="J45" i="1"/>
  <c r="J48" i="1"/>
  <c r="J51" i="1"/>
  <c r="J52" i="1"/>
  <c r="J50" i="1"/>
  <c r="J49" i="1"/>
  <c r="J53" i="1"/>
  <c r="J57" i="1"/>
  <c r="J56" i="1"/>
  <c r="J55" i="1"/>
  <c r="J58" i="1"/>
  <c r="J54" i="1"/>
  <c r="J59" i="1"/>
  <c r="J60" i="1"/>
  <c r="J61" i="1"/>
  <c r="J63" i="1"/>
  <c r="J62" i="1"/>
  <c r="J64" i="1"/>
  <c r="J65" i="1"/>
  <c r="J66" i="1"/>
  <c r="J67" i="1"/>
  <c r="J75" i="1"/>
  <c r="J76" i="1"/>
  <c r="J69" i="1"/>
  <c r="J73" i="1"/>
  <c r="J72" i="1"/>
  <c r="J70" i="1"/>
  <c r="J71" i="1"/>
  <c r="J74" i="1"/>
  <c r="J85" i="1"/>
  <c r="J77" i="1"/>
  <c r="J78" i="1"/>
  <c r="J79" i="1"/>
  <c r="J80" i="1"/>
  <c r="J81" i="1"/>
  <c r="J82" i="1"/>
  <c r="J83" i="1"/>
  <c r="J84" i="1"/>
  <c r="J86" i="1"/>
  <c r="J87" i="1"/>
  <c r="J88" i="1"/>
  <c r="J89" i="1"/>
  <c r="J90" i="1"/>
  <c r="J91" i="1"/>
  <c r="J92" i="1"/>
  <c r="J93" i="1"/>
  <c r="J103" i="1"/>
  <c r="J102" i="1"/>
  <c r="J105" i="1"/>
  <c r="J104" i="1"/>
  <c r="J106" i="1"/>
  <c r="J107" i="1"/>
  <c r="J108" i="1"/>
  <c r="J109" i="1"/>
  <c r="J111" i="1"/>
  <c r="J115" i="1"/>
  <c r="J110" i="1"/>
  <c r="J112" i="1"/>
  <c r="J113" i="1"/>
  <c r="J114" i="1"/>
  <c r="J127" i="1"/>
  <c r="J116" i="1"/>
  <c r="J118" i="1"/>
  <c r="J117" i="1"/>
  <c r="J123" i="1"/>
  <c r="J124" i="1"/>
  <c r="J121" i="1"/>
  <c r="J120" i="1"/>
  <c r="J122" i="1"/>
  <c r="J119" i="1"/>
  <c r="J126" i="1"/>
  <c r="J125" i="1"/>
  <c r="J129" i="1"/>
  <c r="J130" i="1"/>
  <c r="J128" i="1"/>
</calcChain>
</file>

<file path=xl/sharedStrings.xml><?xml version="1.0" encoding="utf-8"?>
<sst xmlns="http://schemas.openxmlformats.org/spreadsheetml/2006/main" count="594" uniqueCount="300">
  <si>
    <t>Country</t>
  </si>
  <si>
    <t>League</t>
  </si>
  <si>
    <t>Season</t>
  </si>
  <si>
    <t>Date</t>
  </si>
  <si>
    <t>Time</t>
  </si>
  <si>
    <t>Home</t>
  </si>
  <si>
    <t>Away</t>
  </si>
  <si>
    <t>HG</t>
  </si>
  <si>
    <t>AG</t>
  </si>
  <si>
    <t>Res</t>
  </si>
  <si>
    <t>PSCH</t>
  </si>
  <si>
    <t>PSCD</t>
  </si>
  <si>
    <t>PSCA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</si>
  <si>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</si>
  <si>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</si>
  <si>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</si>
  <si>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</si>
  <si>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</si>
  <si>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</si>
  <si>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</si>
  <si>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</si>
  <si>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</si>
  <si>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B365CH</t>
  </si>
  <si>
    <t>B365CD</t>
  </si>
  <si>
    <t>B36CA</t>
  </si>
  <si>
    <t>Brazil</t>
  </si>
  <si>
    <t>Serie A</t>
  </si>
  <si>
    <t>Gremio</t>
  </si>
  <si>
    <t>Bragantino</t>
  </si>
  <si>
    <t>Sao Paulo</t>
  </si>
  <si>
    <t>Chapecoense-SC</t>
  </si>
  <si>
    <t>Vasco</t>
  </si>
  <si>
    <t>Palmeiras</t>
  </si>
  <si>
    <t>Remo</t>
  </si>
  <si>
    <t>Fluminense</t>
  </si>
  <si>
    <t>Corinthians</t>
  </si>
  <si>
    <t>Coritiba</t>
  </si>
  <si>
    <t>Flamengo RJ</t>
  </si>
  <si>
    <t>Cruzeiro</t>
  </si>
  <si>
    <t>Bahia</t>
  </si>
  <si>
    <t>Vitoria</t>
  </si>
  <si>
    <t>Atletico-MG</t>
  </si>
  <si>
    <t>Internacional</t>
  </si>
  <si>
    <t>Mirassol</t>
  </si>
  <si>
    <t>Santos</t>
  </si>
  <si>
    <t>Argentina</t>
  </si>
  <si>
    <t>Liga Profesional</t>
  </si>
  <si>
    <t>Athletico-PR</t>
  </si>
  <si>
    <t>Botafogo RJ</t>
  </si>
  <si>
    <t>Argentinos Jrs</t>
  </si>
  <si>
    <t>Aldosivi</t>
  </si>
  <si>
    <t>USA</t>
  </si>
  <si>
    <t>MLS</t>
  </si>
  <si>
    <t>Los Angeles Galaxy</t>
  </si>
  <si>
    <t>Minnesota United</t>
  </si>
  <si>
    <t>Vancouver Whitecaps</t>
  </si>
  <si>
    <t>Portland Timbers</t>
  </si>
  <si>
    <t>San Jose Earthquakes</t>
  </si>
  <si>
    <t>San Diego FC</t>
  </si>
  <si>
    <t>Chicago Fire</t>
  </si>
  <si>
    <t>Nashville SC</t>
  </si>
  <si>
    <t>Houston Dynamo</t>
  </si>
  <si>
    <t>Seattle Sounders</t>
  </si>
  <si>
    <t>Atlanta Utd</t>
  </si>
  <si>
    <t>Columbus Crew</t>
  </si>
  <si>
    <t>Inter Miami</t>
  </si>
  <si>
    <t>Austin FC</t>
  </si>
  <si>
    <t>Charlotte</t>
  </si>
  <si>
    <t>Philadelphia Union</t>
  </si>
  <si>
    <t>DC United</t>
  </si>
  <si>
    <t>FC Dallas</t>
  </si>
  <si>
    <t>New York Red Bulls</t>
  </si>
  <si>
    <t>FC Cincinnati</t>
  </si>
  <si>
    <t>New York City</t>
  </si>
  <si>
    <t>St. Louis City</t>
  </si>
  <si>
    <t>New England Revolution</t>
  </si>
  <si>
    <t>CF Montreal</t>
  </si>
  <si>
    <t>Real Salt Lake</t>
  </si>
  <si>
    <t>Sporting Kansas City</t>
  </si>
  <si>
    <t>Toronto FC</t>
  </si>
  <si>
    <t>Colorado Rapids</t>
  </si>
  <si>
    <t>Los Angeles FC</t>
  </si>
  <si>
    <t>Orlando City</t>
  </si>
  <si>
    <t>Switzerland</t>
  </si>
  <si>
    <t>Super League</t>
  </si>
  <si>
    <t>2025/2026</t>
  </si>
  <si>
    <t>Servette</t>
  </si>
  <si>
    <t>Luzern</t>
  </si>
  <si>
    <t>Grasshoppers</t>
  </si>
  <si>
    <t>Sion</t>
  </si>
  <si>
    <t>Basel</t>
  </si>
  <si>
    <t>Young Boys</t>
  </si>
  <si>
    <t>Lausanne</t>
  </si>
  <si>
    <t>Winterthur</t>
  </si>
  <si>
    <t>St. Gallen</t>
  </si>
  <si>
    <t>Zurich</t>
  </si>
  <si>
    <t>Lugano</t>
  </si>
  <si>
    <t>Thun</t>
  </si>
  <si>
    <t>Sweden</t>
  </si>
  <si>
    <t>Allsvenskan</t>
  </si>
  <si>
    <t>GAIS</t>
  </si>
  <si>
    <t>Djurgarden</t>
  </si>
  <si>
    <t>Hacken</t>
  </si>
  <si>
    <t>Brommapojkarna</t>
  </si>
  <si>
    <t>Elfsborg</t>
  </si>
  <si>
    <t>Goteborg</t>
  </si>
  <si>
    <t>Orgryte</t>
  </si>
  <si>
    <t>Malmo FF</t>
  </si>
  <si>
    <t>AIK</t>
  </si>
  <si>
    <t>Halmstad</t>
  </si>
  <si>
    <t>Kalmar</t>
  </si>
  <si>
    <t>Vasteras SK</t>
  </si>
  <si>
    <t>Degerfors</t>
  </si>
  <si>
    <t>Sirius</t>
  </si>
  <si>
    <t>Hammarby</t>
  </si>
  <si>
    <t>Mjallby</t>
  </si>
  <si>
    <t>Russia</t>
  </si>
  <si>
    <t>Premier League</t>
  </si>
  <si>
    <t>Sochi</t>
  </si>
  <si>
    <t>Rubin Kazan</t>
  </si>
  <si>
    <t>Spartak Moscow</t>
  </si>
  <si>
    <t>Lokomotiv Moscow</t>
  </si>
  <si>
    <t>Dynamo Makhachkala</t>
  </si>
  <si>
    <t>Baltika</t>
  </si>
  <si>
    <t>Pari NN</t>
  </si>
  <si>
    <t>FK Rostov</t>
  </si>
  <si>
    <t>Akhmat Grozny</t>
  </si>
  <si>
    <t>Krasnodar</t>
  </si>
  <si>
    <t>Dynamo Moscow</t>
  </si>
  <si>
    <t>Orenburg</t>
  </si>
  <si>
    <t>Zenit</t>
  </si>
  <si>
    <t>Krylya Sovetov</t>
  </si>
  <si>
    <t>Akron Togliatti</t>
  </si>
  <si>
    <t>CSKA Moscow</t>
  </si>
  <si>
    <t>Romania</t>
  </si>
  <si>
    <t>Superliga</t>
  </si>
  <si>
    <t>Univ. Craiova</t>
  </si>
  <si>
    <t>CFR Cluj</t>
  </si>
  <si>
    <t>Petrolul</t>
  </si>
  <si>
    <t>Csikszereda M. Ciuc</t>
  </si>
  <si>
    <t>FC Rapid Bucuresti</t>
  </si>
  <si>
    <t>U. Cluj</t>
  </si>
  <si>
    <t>Farul Constanta</t>
  </si>
  <si>
    <t>Unirea Slobozia</t>
  </si>
  <si>
    <t>UTA Arad</t>
  </si>
  <si>
    <t>Metaloglobus Bucharest</t>
  </si>
  <si>
    <t>FC Arges</t>
  </si>
  <si>
    <t>Dinamo Bucuresti</t>
  </si>
  <si>
    <t>Otelul</t>
  </si>
  <si>
    <t>FC Hermannstadt</t>
  </si>
  <si>
    <t>FC Botosani</t>
  </si>
  <si>
    <t>FCSB</t>
  </si>
  <si>
    <t>Poland</t>
  </si>
  <si>
    <t>Ekstraklasa</t>
  </si>
  <si>
    <t>Lechia Gdansk</t>
  </si>
  <si>
    <t>Korona Kielce</t>
  </si>
  <si>
    <t>Pogon Szczecin</t>
  </si>
  <si>
    <t>Legia</t>
  </si>
  <si>
    <t>Radomiak Radom</t>
  </si>
  <si>
    <t>Motor Lublin</t>
  </si>
  <si>
    <t>Termalica B-B.</t>
  </si>
  <si>
    <t>Piast Gliwice</t>
  </si>
  <si>
    <t>Jagiellonia</t>
  </si>
  <si>
    <t>Lech Poznan</t>
  </si>
  <si>
    <t>Gornik Zabrze</t>
  </si>
  <si>
    <t>Cracovia</t>
  </si>
  <si>
    <t>Rakow</t>
  </si>
  <si>
    <t>Widzew Lodz</t>
  </si>
  <si>
    <t>GKS Katowice</t>
  </si>
  <si>
    <t>Wisla Plock</t>
  </si>
  <si>
    <t>Arka Gdynia</t>
  </si>
  <si>
    <t>Zaglebie</t>
  </si>
  <si>
    <t>Norway</t>
  </si>
  <si>
    <t>Eliteserien</t>
  </si>
  <si>
    <t>Tromso</t>
  </si>
  <si>
    <t>Rosenborg</t>
  </si>
  <si>
    <t>Kristiansund</t>
  </si>
  <si>
    <t>Bodo/Glimt</t>
  </si>
  <si>
    <t>HamKam</t>
  </si>
  <si>
    <t>Brann</t>
  </si>
  <si>
    <t>Molde</t>
  </si>
  <si>
    <t>Lillestrom</t>
  </si>
  <si>
    <t>Sarpsborg 08</t>
  </si>
  <si>
    <t>Start</t>
  </si>
  <si>
    <t>Valerenga</t>
  </si>
  <si>
    <t>Viking</t>
  </si>
  <si>
    <t>KFUM Oslo</t>
  </si>
  <si>
    <t>Sandefjord</t>
  </si>
  <si>
    <t>Aalesund</t>
  </si>
  <si>
    <t>Fredrikstad</t>
  </si>
  <si>
    <t>Mexico</t>
  </si>
  <si>
    <t>Liga MX</t>
  </si>
  <si>
    <t>Guadalajara Chivas</t>
  </si>
  <si>
    <t>UNAM Pumas</t>
  </si>
  <si>
    <t>Santos Laguna</t>
  </si>
  <si>
    <t>Club America</t>
  </si>
  <si>
    <t>Club Leon</t>
  </si>
  <si>
    <t>Atlas</t>
  </si>
  <si>
    <t>Cruz Azul</t>
  </si>
  <si>
    <t>Pachuca</t>
  </si>
  <si>
    <t>Monterrey</t>
  </si>
  <si>
    <t>Atl. San Luis</t>
  </si>
  <si>
    <t>Queretaro</t>
  </si>
  <si>
    <t>Toluca</t>
  </si>
  <si>
    <t>Club Tijuana</t>
  </si>
  <si>
    <t>Tigres UANL</t>
  </si>
  <si>
    <t>Necaxa</t>
  </si>
  <si>
    <t>Mazatlan FC</t>
  </si>
  <si>
    <t>Puebla</t>
  </si>
  <si>
    <t>Juarez</t>
  </si>
  <si>
    <t>Ireland</t>
  </si>
  <si>
    <t>Premier Division</t>
  </si>
  <si>
    <t>Bohemians</t>
  </si>
  <si>
    <t>Waterford</t>
  </si>
  <si>
    <t>Sligo Rovers</t>
  </si>
  <si>
    <t>Derry City</t>
  </si>
  <si>
    <t>Drogheda</t>
  </si>
  <si>
    <t>Galway</t>
  </si>
  <si>
    <t>Dundalk</t>
  </si>
  <si>
    <t>St. Patricks</t>
  </si>
  <si>
    <t>Shamrock Rovers</t>
  </si>
  <si>
    <t>Shelbourne</t>
  </si>
  <si>
    <t>Finland</t>
  </si>
  <si>
    <t>Veikkausliiga</t>
  </si>
  <si>
    <t>Gnistan</t>
  </si>
  <si>
    <t>AC Oulu</t>
  </si>
  <si>
    <t>Ilves</t>
  </si>
  <si>
    <t>KuPS</t>
  </si>
  <si>
    <t>Jaro</t>
  </si>
  <si>
    <t>Lahti</t>
  </si>
  <si>
    <t>Mariehamn</t>
  </si>
  <si>
    <t>TPS</t>
  </si>
  <si>
    <t>HJK</t>
  </si>
  <si>
    <t>SJK</t>
  </si>
  <si>
    <t>Inter Turku</t>
  </si>
  <si>
    <t>VPS</t>
  </si>
  <si>
    <t>Denmark</t>
  </si>
  <si>
    <t>Viborg</t>
  </si>
  <si>
    <t>Aarhus</t>
  </si>
  <si>
    <t>Odense</t>
  </si>
  <si>
    <t>Fredericia</t>
  </si>
  <si>
    <t>Vejle</t>
  </si>
  <si>
    <t>Randers FC</t>
  </si>
  <si>
    <t>FC Copenhagen</t>
  </si>
  <si>
    <t>Silkeborg</t>
  </si>
  <si>
    <t>Midtjylland</t>
  </si>
  <si>
    <t>Sonderjyske</t>
  </si>
  <si>
    <t>Nordsjaelland</t>
  </si>
  <si>
    <t>Brondby</t>
  </si>
  <si>
    <t>China</t>
  </si>
  <si>
    <t>Tianjin Jinmen Tiger</t>
  </si>
  <si>
    <t>Shanghai Shenhua</t>
  </si>
  <si>
    <t>Shenzhen Xinpengcheng</t>
  </si>
  <si>
    <t>Wuhan Three Towns</t>
  </si>
  <si>
    <t>Zhejiang Professional</t>
  </si>
  <si>
    <t>Chongqing Tonglianglong</t>
  </si>
  <si>
    <t>Shanghai Port</t>
  </si>
  <si>
    <t>Yunnan Yukun</t>
  </si>
  <si>
    <t>Shandong Taishan</t>
  </si>
  <si>
    <t>Dalian Yingbo</t>
  </si>
  <si>
    <t>Liaoning Tieren</t>
  </si>
  <si>
    <t>Beijing Guoan</t>
  </si>
  <si>
    <t>Qingdao Hainiu</t>
  </si>
  <si>
    <t>Henan Songshan Longmen</t>
  </si>
  <si>
    <t>Chengdu Rongcheng</t>
  </si>
  <si>
    <t>Qingdao West Coast</t>
  </si>
  <si>
    <t>Austria</t>
  </si>
  <si>
    <t>Bundesliga</t>
  </si>
  <si>
    <t>SK Rapid</t>
  </si>
  <si>
    <t>Sturm Graz</t>
  </si>
  <si>
    <t>LASK</t>
  </si>
  <si>
    <t>Austria Vienna</t>
  </si>
  <si>
    <t>Hartberg</t>
  </si>
  <si>
    <t>Salzburg</t>
  </si>
  <si>
    <t>Grazer AK</t>
  </si>
  <si>
    <t>BW Linz</t>
  </si>
  <si>
    <t>Tirol</t>
  </si>
  <si>
    <t>Wolfsberger AC</t>
  </si>
  <si>
    <t>Ried</t>
  </si>
  <si>
    <t>Altach</t>
  </si>
  <si>
    <t>Instituto</t>
  </si>
  <si>
    <t>Defensa y Justicia</t>
  </si>
  <si>
    <t>Banfield</t>
  </si>
  <si>
    <t>Central Cordoba</t>
  </si>
  <si>
    <t>Newells Old Boys</t>
  </si>
  <si>
    <t>River Plate</t>
  </si>
  <si>
    <t>Belgrano</t>
  </si>
  <si>
    <t>Gimnasia L.P.</t>
  </si>
  <si>
    <t>Huracan</t>
  </si>
  <si>
    <t>Rosario Central</t>
  </si>
  <si>
    <t>Atl. Tucuman</t>
  </si>
  <si>
    <t>Independiente</t>
  </si>
  <si>
    <t>Racing Club</t>
  </si>
  <si>
    <t>Estudiantes Rio Cuarto</t>
  </si>
  <si>
    <t>San Lorenzo</t>
  </si>
  <si>
    <t>Estudiantes L.P.</t>
  </si>
  <si>
    <t>Union de Santa Fe</t>
  </si>
  <si>
    <t>Dep. Riestra</t>
  </si>
  <si>
    <t>Gimnasia Mendoza</t>
  </si>
  <si>
    <t>Velez Sarsfield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</si>
</sst>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30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.26953125" defaultRowHeight="12.5" x14ac:dyDescent="0.25"/>
  <cols>
    <col min="1" max="1" width="10" bestFit="1" customWidth="1"/>
    <col min="2" max="2" width="13.7265625" bestFit="1" customWidth="1"/>
    <col min="3" max="3" width="9.36328125" bestFit="1" customWidth="1"/>
    <col min="4" max="4" width="9.90625" style="1" bestFit="1" customWidth="1"/>
    <col min="5" max="5" width="5.36328125" bestFit="1" customWidth="1"/>
    <col min="6" max="7" width="18.6328125" customWidth="1"/>
    <col min="8" max="9" width="3.453125" bestFit="1" customWidth="1"/>
    <col min="10" max="10" width="4" bestFit="1" customWidth="1"/>
    <col min="11" max="11" width="5.81640625" bestFit="1" customWidth="1"/>
    <col min="12" max="12" width="5.90625" bestFit="1" customWidth="1"/>
    <col min="13" max="13" width="5.7265625" bestFit="1" customWidth="1"/>
    <col min="14" max="14" width="6.6328125" bestFit="1" customWidth="1"/>
    <col min="15" max="15" width="6.7265625" bestFit="1" customWidth="1"/>
    <col min="16" max="16" width="6.6328125" bestFit="1" customWidth="1"/>
    <col min="17" max="17" width="6.26953125" bestFit="1" customWidth="1"/>
    <col min="18" max="18" width="6.36328125" customWidth="1"/>
    <col min="19" max="19" width="6.26953125" bestFit="1" customWidth="1"/>
    <col min="20" max="20" width="6.81640625" bestFit="1" customWidth="1"/>
    <col min="21" max="21" width="6.90625" bestFit="1" customWidth="1"/>
    <col min="22" max="22" width="6.8164062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45</v>
      </c>
      <c r="B2" t="s">
        <v>46</v>
      </c>
      <c r="C2">
        <v>2026</v>
      </c>
      <c r="D2" s="1">
        <v>46115</v>
      </c>
      <c r="E2" s="2">
        <v>0.79166666666666663</v>
      </c>
      <c r="F2" t="s">
        <v>298</v>
      </c>
      <c r="G2" t="s">
        <v>299</v>
      </c>
      <c r="H2">
        <v>3</v>
      </c>
      <c r="I2">
        <v>2</v>
      </c>
      <c r="J2" t="str">
        <f t="shared" ref="J2:J33" si="0">IF(H2&gt;I2,"H",IF(H2=I2,"D","A"))</f>
        <v>H</v>
      </c>
      <c r="N2">
        <v>4.25</v>
      </c>
      <c r="O2">
        <v>3</v>
      </c>
      <c r="P2">
        <v>2.15</v>
      </c>
      <c r="Q2">
        <v>3.91</v>
      </c>
      <c r="R2">
        <v>2.87</v>
      </c>
      <c r="S2">
        <v>2.1</v>
      </c>
      <c r="T2">
        <v>4.2</v>
      </c>
      <c r="U2">
        <v>3</v>
      </c>
      <c r="V2">
        <v>2.2400000000000002</v>
      </c>
      <c r="W2">
        <v>4</v>
      </c>
      <c r="X2">
        <v>2.85</v>
      </c>
      <c r="Y2">
        <v>2.1</v>
      </c>
    </row>
    <row r="3" spans="1:25" x14ac:dyDescent="0.25">
      <c r="A3" t="s">
        <v>45</v>
      </c>
      <c r="B3" t="s">
        <v>46</v>
      </c>
      <c r="C3">
        <v>2026</v>
      </c>
      <c r="D3" s="1">
        <v>46115</v>
      </c>
      <c r="E3" s="2">
        <v>0.88541666666666663</v>
      </c>
      <c r="F3" t="s">
        <v>296</v>
      </c>
      <c r="G3" t="s">
        <v>297</v>
      </c>
      <c r="H3">
        <v>2</v>
      </c>
      <c r="I3">
        <v>0</v>
      </c>
      <c r="J3" t="str">
        <f t="shared" si="0"/>
        <v>H</v>
      </c>
      <c r="N3">
        <v>1.88</v>
      </c>
      <c r="O3">
        <v>3.25</v>
      </c>
      <c r="P3">
        <v>5</v>
      </c>
      <c r="Q3">
        <v>1.83</v>
      </c>
      <c r="R3">
        <v>3.07</v>
      </c>
      <c r="S3">
        <v>4.79</v>
      </c>
      <c r="T3">
        <v>1.89</v>
      </c>
      <c r="U3">
        <v>3.25</v>
      </c>
      <c r="V3">
        <v>6</v>
      </c>
      <c r="W3">
        <v>1.79</v>
      </c>
      <c r="X3">
        <v>3.25</v>
      </c>
      <c r="Y3">
        <v>5</v>
      </c>
    </row>
    <row r="4" spans="1:25" x14ac:dyDescent="0.25">
      <c r="A4" t="s">
        <v>45</v>
      </c>
      <c r="B4" t="s">
        <v>46</v>
      </c>
      <c r="C4">
        <v>2026</v>
      </c>
      <c r="D4" s="1">
        <v>46115</v>
      </c>
      <c r="E4" s="2">
        <v>0.97916666666666663</v>
      </c>
      <c r="F4" t="s">
        <v>294</v>
      </c>
      <c r="G4" t="s">
        <v>295</v>
      </c>
      <c r="H4">
        <v>1</v>
      </c>
      <c r="I4">
        <v>0</v>
      </c>
      <c r="J4" t="str">
        <f t="shared" si="0"/>
        <v>H</v>
      </c>
      <c r="N4">
        <v>3.55</v>
      </c>
      <c r="O4">
        <v>2.88</v>
      </c>
      <c r="P4">
        <v>2.5</v>
      </c>
      <c r="Q4">
        <v>3.32</v>
      </c>
      <c r="R4">
        <v>2.73</v>
      </c>
      <c r="S4">
        <v>2.41</v>
      </c>
      <c r="T4">
        <v>3.55</v>
      </c>
      <c r="U4">
        <v>2.9</v>
      </c>
      <c r="V4">
        <v>2.62</v>
      </c>
      <c r="W4">
        <v>3.5</v>
      </c>
      <c r="X4">
        <v>2.7</v>
      </c>
      <c r="Y4">
        <v>2.4</v>
      </c>
    </row>
    <row r="5" spans="1:25" x14ac:dyDescent="0.25">
      <c r="A5" t="s">
        <v>45</v>
      </c>
      <c r="B5" t="s">
        <v>46</v>
      </c>
      <c r="C5">
        <v>2026</v>
      </c>
      <c r="D5" s="1">
        <v>46116</v>
      </c>
      <c r="E5" s="2">
        <v>0.72916666666666663</v>
      </c>
      <c r="F5" t="s">
        <v>50</v>
      </c>
      <c r="G5" t="s">
        <v>293</v>
      </c>
      <c r="H5">
        <v>0</v>
      </c>
      <c r="I5">
        <v>0</v>
      </c>
      <c r="J5" t="str">
        <f t="shared" si="0"/>
        <v>D</v>
      </c>
      <c r="N5">
        <v>2.2999999999999998</v>
      </c>
      <c r="O5">
        <v>2.8</v>
      </c>
      <c r="P5">
        <v>4.0999999999999996</v>
      </c>
      <c r="Q5">
        <v>2.19</v>
      </c>
      <c r="R5">
        <v>2.72</v>
      </c>
      <c r="S5">
        <v>3.92</v>
      </c>
      <c r="T5">
        <v>2.38</v>
      </c>
      <c r="U5">
        <v>2.78</v>
      </c>
      <c r="V5">
        <v>4.2</v>
      </c>
      <c r="W5">
        <v>2.25</v>
      </c>
      <c r="X5">
        <v>2.65</v>
      </c>
      <c r="Y5">
        <v>4</v>
      </c>
    </row>
    <row r="6" spans="1:25" x14ac:dyDescent="0.25">
      <c r="A6" t="s">
        <v>45</v>
      </c>
      <c r="B6" t="s">
        <v>46</v>
      </c>
      <c r="C6">
        <v>2026</v>
      </c>
      <c r="D6" s="1">
        <v>46116</v>
      </c>
      <c r="E6" s="2">
        <v>0.89583333333333337</v>
      </c>
      <c r="F6" t="s">
        <v>291</v>
      </c>
      <c r="G6" t="s">
        <v>292</v>
      </c>
      <c r="H6">
        <v>1</v>
      </c>
      <c r="I6">
        <v>0</v>
      </c>
      <c r="J6" t="str">
        <f t="shared" si="0"/>
        <v>H</v>
      </c>
      <c r="N6">
        <v>2.5</v>
      </c>
      <c r="O6">
        <v>3</v>
      </c>
      <c r="P6">
        <v>3.3</v>
      </c>
      <c r="Q6">
        <v>2.38</v>
      </c>
      <c r="R6">
        <v>2.88</v>
      </c>
      <c r="S6">
        <v>3.17</v>
      </c>
      <c r="T6">
        <v>2.54</v>
      </c>
      <c r="U6">
        <v>3.05</v>
      </c>
      <c r="V6">
        <v>3.55</v>
      </c>
      <c r="W6">
        <v>2.4</v>
      </c>
      <c r="X6">
        <v>2.85</v>
      </c>
      <c r="Y6">
        <v>3.2</v>
      </c>
    </row>
    <row r="7" spans="1:25" x14ac:dyDescent="0.25">
      <c r="A7" t="s">
        <v>45</v>
      </c>
      <c r="B7" t="s">
        <v>46</v>
      </c>
      <c r="C7">
        <v>2026</v>
      </c>
      <c r="D7" s="1">
        <v>46117</v>
      </c>
      <c r="E7" s="2">
        <v>4.1666666666666664E-2</v>
      </c>
      <c r="F7" t="s">
        <v>289</v>
      </c>
      <c r="G7" t="s">
        <v>290</v>
      </c>
      <c r="H7">
        <v>2</v>
      </c>
      <c r="I7">
        <v>1</v>
      </c>
      <c r="J7" t="str">
        <f t="shared" si="0"/>
        <v>H</v>
      </c>
      <c r="N7">
        <v>1.75</v>
      </c>
      <c r="O7">
        <v>3.5</v>
      </c>
      <c r="P7">
        <v>5.75</v>
      </c>
      <c r="Q7">
        <v>1.67</v>
      </c>
      <c r="R7">
        <v>3.39</v>
      </c>
      <c r="S7">
        <v>5.32</v>
      </c>
      <c r="T7">
        <v>1.76</v>
      </c>
      <c r="U7">
        <v>3.6</v>
      </c>
      <c r="V7">
        <v>6.2</v>
      </c>
      <c r="W7">
        <v>1.66</v>
      </c>
      <c r="X7">
        <v>3.5</v>
      </c>
      <c r="Y7">
        <v>5.5</v>
      </c>
    </row>
    <row r="8" spans="1:25" x14ac:dyDescent="0.25">
      <c r="A8" t="s">
        <v>45</v>
      </c>
      <c r="B8" t="s">
        <v>46</v>
      </c>
      <c r="C8">
        <v>2026</v>
      </c>
      <c r="D8" s="1">
        <v>46117</v>
      </c>
      <c r="E8" s="2">
        <v>0.8125</v>
      </c>
      <c r="F8" t="s">
        <v>287</v>
      </c>
      <c r="G8" t="s">
        <v>288</v>
      </c>
      <c r="H8">
        <v>0</v>
      </c>
      <c r="I8">
        <v>3</v>
      </c>
      <c r="J8" t="str">
        <f t="shared" si="0"/>
        <v>A</v>
      </c>
      <c r="N8">
        <v>2.9</v>
      </c>
      <c r="O8">
        <v>2.82</v>
      </c>
      <c r="P8">
        <v>3</v>
      </c>
      <c r="Q8">
        <v>2.79</v>
      </c>
      <c r="R8">
        <v>2.73</v>
      </c>
      <c r="S8">
        <v>2.82</v>
      </c>
      <c r="T8">
        <v>3.05</v>
      </c>
      <c r="U8">
        <v>2.88</v>
      </c>
      <c r="V8">
        <v>3</v>
      </c>
      <c r="W8">
        <v>2.82</v>
      </c>
      <c r="X8">
        <v>2.75</v>
      </c>
      <c r="Y8">
        <v>2.82</v>
      </c>
    </row>
    <row r="9" spans="1:25" x14ac:dyDescent="0.25">
      <c r="A9" t="s">
        <v>45</v>
      </c>
      <c r="B9" t="s">
        <v>46</v>
      </c>
      <c r="C9">
        <v>2026</v>
      </c>
      <c r="D9" s="1">
        <v>46117</v>
      </c>
      <c r="E9" s="2">
        <v>0.91666666666666663</v>
      </c>
      <c r="F9" t="s">
        <v>285</v>
      </c>
      <c r="G9" t="s">
        <v>286</v>
      </c>
      <c r="H9">
        <v>3</v>
      </c>
      <c r="I9">
        <v>0</v>
      </c>
      <c r="J9" t="str">
        <f t="shared" si="0"/>
        <v>H</v>
      </c>
      <c r="N9">
        <v>1.8</v>
      </c>
      <c r="O9">
        <v>3.5</v>
      </c>
      <c r="P9">
        <v>6.1</v>
      </c>
      <c r="Q9">
        <v>1.69</v>
      </c>
      <c r="R9">
        <v>3.39</v>
      </c>
      <c r="S9">
        <v>5.2</v>
      </c>
      <c r="T9">
        <v>1.79</v>
      </c>
      <c r="U9">
        <v>3.55</v>
      </c>
      <c r="V9">
        <v>6</v>
      </c>
      <c r="W9">
        <v>1.71</v>
      </c>
      <c r="X9">
        <v>3.3</v>
      </c>
      <c r="Y9">
        <v>5.25</v>
      </c>
    </row>
    <row r="10" spans="1:25" x14ac:dyDescent="0.25">
      <c r="A10" t="s">
        <v>45</v>
      </c>
      <c r="B10" t="s">
        <v>46</v>
      </c>
      <c r="C10">
        <v>2026</v>
      </c>
      <c r="D10" s="1">
        <v>46118</v>
      </c>
      <c r="E10" s="2">
        <v>2.0833333333333332E-2</v>
      </c>
      <c r="F10" t="s">
        <v>283</v>
      </c>
      <c r="G10" t="s">
        <v>284</v>
      </c>
      <c r="H10">
        <v>1</v>
      </c>
      <c r="I10">
        <v>3</v>
      </c>
      <c r="J10" t="str">
        <f t="shared" si="0"/>
        <v>A</v>
      </c>
      <c r="N10">
        <v>2.4500000000000002</v>
      </c>
      <c r="O10">
        <v>2.88</v>
      </c>
      <c r="P10">
        <v>3.5</v>
      </c>
      <c r="Q10">
        <v>2.34</v>
      </c>
      <c r="R10">
        <v>2.82</v>
      </c>
      <c r="S10">
        <v>3.35</v>
      </c>
      <c r="T10">
        <v>2.5</v>
      </c>
      <c r="U10">
        <v>2.98</v>
      </c>
      <c r="V10">
        <v>3.7</v>
      </c>
      <c r="W10">
        <v>2.4500000000000002</v>
      </c>
      <c r="X10">
        <v>2.75</v>
      </c>
      <c r="Y10">
        <v>3.3</v>
      </c>
    </row>
    <row r="11" spans="1:25" x14ac:dyDescent="0.25">
      <c r="A11" t="s">
        <v>45</v>
      </c>
      <c r="B11" t="s">
        <v>46</v>
      </c>
      <c r="C11">
        <v>2026</v>
      </c>
      <c r="D11" s="1">
        <v>46118</v>
      </c>
      <c r="E11" s="2">
        <v>0.95833333333333337</v>
      </c>
      <c r="F11" t="s">
        <v>49</v>
      </c>
      <c r="G11" t="s">
        <v>282</v>
      </c>
      <c r="H11">
        <v>3</v>
      </c>
      <c r="I11">
        <v>2</v>
      </c>
      <c r="J11" t="str">
        <f t="shared" si="0"/>
        <v>H</v>
      </c>
      <c r="N11">
        <v>1.68</v>
      </c>
      <c r="O11">
        <v>3.75</v>
      </c>
      <c r="P11">
        <v>6.75</v>
      </c>
      <c r="Q11">
        <v>1.61</v>
      </c>
      <c r="R11">
        <v>3.55</v>
      </c>
      <c r="S11">
        <v>5.77</v>
      </c>
      <c r="T11">
        <v>1.71</v>
      </c>
      <c r="U11">
        <v>3.7</v>
      </c>
      <c r="V11">
        <v>6.6</v>
      </c>
      <c r="W11">
        <v>1.62</v>
      </c>
      <c r="X11">
        <v>3.4</v>
      </c>
      <c r="Y11">
        <v>6.25</v>
      </c>
    </row>
    <row r="12" spans="1:25" x14ac:dyDescent="0.25">
      <c r="A12" t="s">
        <v>45</v>
      </c>
      <c r="B12" t="s">
        <v>46</v>
      </c>
      <c r="C12">
        <v>2026</v>
      </c>
      <c r="D12" s="1">
        <v>46119</v>
      </c>
      <c r="E12" s="2">
        <v>5.2083333333333336E-2</v>
      </c>
      <c r="F12" t="s">
        <v>280</v>
      </c>
      <c r="G12" t="s">
        <v>281</v>
      </c>
      <c r="H12">
        <v>2</v>
      </c>
      <c r="I12">
        <v>0</v>
      </c>
      <c r="J12" t="str">
        <f t="shared" si="0"/>
        <v>H</v>
      </c>
      <c r="N12">
        <v>2.06</v>
      </c>
      <c r="O12">
        <v>3.3</v>
      </c>
      <c r="P12">
        <v>4.5</v>
      </c>
      <c r="Q12">
        <v>1.95</v>
      </c>
      <c r="R12">
        <v>3.1</v>
      </c>
      <c r="S12">
        <v>4.08</v>
      </c>
      <c r="T12">
        <v>2.02</v>
      </c>
      <c r="U12">
        <v>3.3</v>
      </c>
      <c r="V12">
        <v>4.9000000000000004</v>
      </c>
      <c r="W12">
        <v>1.91</v>
      </c>
      <c r="X12">
        <v>3.25</v>
      </c>
      <c r="Y12">
        <v>4.2</v>
      </c>
    </row>
    <row r="13" spans="1:25" x14ac:dyDescent="0.25">
      <c r="A13" t="s">
        <v>266</v>
      </c>
      <c r="B13" t="s">
        <v>267</v>
      </c>
      <c r="C13" t="s">
        <v>85</v>
      </c>
      <c r="D13" s="1">
        <v>46115</v>
      </c>
      <c r="E13" s="2">
        <v>0.77083333333333337</v>
      </c>
      <c r="F13" t="s">
        <v>278</v>
      </c>
      <c r="G13" t="s">
        <v>279</v>
      </c>
      <c r="H13">
        <v>3</v>
      </c>
      <c r="I13">
        <v>2</v>
      </c>
      <c r="J13" t="str">
        <f t="shared" si="0"/>
        <v>H</v>
      </c>
      <c r="N13">
        <v>2.2000000000000002</v>
      </c>
      <c r="O13">
        <v>3.25</v>
      </c>
      <c r="P13">
        <v>3.75</v>
      </c>
      <c r="Q13">
        <v>2.13</v>
      </c>
      <c r="R13">
        <v>3.08</v>
      </c>
      <c r="S13">
        <v>3.43</v>
      </c>
      <c r="T13">
        <v>2.2599999999999998</v>
      </c>
      <c r="U13">
        <v>3.2</v>
      </c>
      <c r="V13">
        <v>3.85</v>
      </c>
      <c r="W13">
        <v>2.1</v>
      </c>
      <c r="X13">
        <v>3.2</v>
      </c>
      <c r="Y13">
        <v>3.5</v>
      </c>
    </row>
    <row r="14" spans="1:25" x14ac:dyDescent="0.25">
      <c r="A14" t="s">
        <v>266</v>
      </c>
      <c r="B14" t="s">
        <v>267</v>
      </c>
      <c r="C14" t="s">
        <v>85</v>
      </c>
      <c r="D14" s="1">
        <v>46116</v>
      </c>
      <c r="E14" s="2">
        <v>0.66666666666666663</v>
      </c>
      <c r="F14" t="s">
        <v>274</v>
      </c>
      <c r="G14" t="s">
        <v>275</v>
      </c>
      <c r="H14">
        <v>2</v>
      </c>
      <c r="I14">
        <v>1</v>
      </c>
      <c r="J14" t="str">
        <f t="shared" si="0"/>
        <v>H</v>
      </c>
      <c r="N14">
        <v>2.35</v>
      </c>
      <c r="O14">
        <v>3.25</v>
      </c>
      <c r="P14">
        <v>3.5</v>
      </c>
      <c r="Q14">
        <v>2.29</v>
      </c>
      <c r="R14">
        <v>3.03</v>
      </c>
      <c r="S14">
        <v>3.14</v>
      </c>
      <c r="T14">
        <v>2.44</v>
      </c>
      <c r="U14">
        <v>3.15</v>
      </c>
      <c r="V14">
        <v>3.55</v>
      </c>
      <c r="W14">
        <v>2.25</v>
      </c>
      <c r="X14">
        <v>3</v>
      </c>
      <c r="Y14">
        <v>3.4</v>
      </c>
    </row>
    <row r="15" spans="1:25" x14ac:dyDescent="0.25">
      <c r="A15" t="s">
        <v>266</v>
      </c>
      <c r="B15" t="s">
        <v>267</v>
      </c>
      <c r="C15" t="s">
        <v>85</v>
      </c>
      <c r="D15" s="1">
        <v>46116</v>
      </c>
      <c r="E15" s="2">
        <v>0.66666666666666663</v>
      </c>
      <c r="F15" t="s">
        <v>276</v>
      </c>
      <c r="G15" t="s">
        <v>277</v>
      </c>
      <c r="H15">
        <v>3</v>
      </c>
      <c r="I15">
        <v>1</v>
      </c>
      <c r="J15" t="str">
        <f t="shared" si="0"/>
        <v>H</v>
      </c>
      <c r="N15">
        <v>2.8</v>
      </c>
      <c r="O15">
        <v>3.5</v>
      </c>
      <c r="P15">
        <v>2.6</v>
      </c>
      <c r="Q15">
        <v>2.65</v>
      </c>
      <c r="R15">
        <v>3.33</v>
      </c>
      <c r="S15">
        <v>2.4300000000000002</v>
      </c>
      <c r="T15">
        <v>2.84</v>
      </c>
      <c r="U15">
        <v>3.5</v>
      </c>
      <c r="V15">
        <v>2.68</v>
      </c>
      <c r="W15">
        <v>2.57</v>
      </c>
      <c r="X15">
        <v>3.4</v>
      </c>
      <c r="Y15">
        <v>2.5</v>
      </c>
    </row>
    <row r="16" spans="1:25" x14ac:dyDescent="0.25">
      <c r="A16" t="s">
        <v>266</v>
      </c>
      <c r="B16" t="s">
        <v>267</v>
      </c>
      <c r="C16" t="s">
        <v>85</v>
      </c>
      <c r="D16" s="1">
        <v>46117</v>
      </c>
      <c r="E16" s="2">
        <v>0.5625</v>
      </c>
      <c r="F16" t="s">
        <v>272</v>
      </c>
      <c r="G16" t="s">
        <v>273</v>
      </c>
      <c r="H16">
        <v>1</v>
      </c>
      <c r="I16">
        <v>2</v>
      </c>
      <c r="J16" t="str">
        <f t="shared" si="0"/>
        <v>A</v>
      </c>
      <c r="N16">
        <v>6.33</v>
      </c>
      <c r="O16">
        <v>4.33</v>
      </c>
      <c r="P16">
        <v>1.6</v>
      </c>
      <c r="Q16">
        <v>5.22</v>
      </c>
      <c r="R16">
        <v>4.01</v>
      </c>
      <c r="S16">
        <v>1.54</v>
      </c>
      <c r="T16">
        <v>6.4</v>
      </c>
      <c r="U16">
        <v>4.3</v>
      </c>
      <c r="V16">
        <v>1.61</v>
      </c>
      <c r="W16">
        <v>5.5</v>
      </c>
      <c r="X16">
        <v>3.9</v>
      </c>
      <c r="Y16">
        <v>1.53</v>
      </c>
    </row>
    <row r="17" spans="1:25" x14ac:dyDescent="0.25">
      <c r="A17" t="s">
        <v>266</v>
      </c>
      <c r="B17" t="s">
        <v>267</v>
      </c>
      <c r="C17" t="s">
        <v>85</v>
      </c>
      <c r="D17" s="1">
        <v>46117</v>
      </c>
      <c r="E17" s="2">
        <v>0.5625</v>
      </c>
      <c r="F17" t="s">
        <v>270</v>
      </c>
      <c r="G17" t="s">
        <v>271</v>
      </c>
      <c r="H17">
        <v>4</v>
      </c>
      <c r="I17">
        <v>1</v>
      </c>
      <c r="J17" t="str">
        <f t="shared" si="0"/>
        <v>H</v>
      </c>
      <c r="N17">
        <v>2.12</v>
      </c>
      <c r="O17">
        <v>3.5</v>
      </c>
      <c r="P17">
        <v>3.6</v>
      </c>
      <c r="Q17">
        <v>2.04</v>
      </c>
      <c r="R17">
        <v>3.34</v>
      </c>
      <c r="S17">
        <v>3.36</v>
      </c>
      <c r="T17">
        <v>2.16</v>
      </c>
      <c r="U17">
        <v>3.55</v>
      </c>
      <c r="V17">
        <v>3.75</v>
      </c>
      <c r="W17">
        <v>2.0099999999999998</v>
      </c>
      <c r="X17">
        <v>3.5</v>
      </c>
      <c r="Y17">
        <v>3.5</v>
      </c>
    </row>
    <row r="18" spans="1:25" x14ac:dyDescent="0.25">
      <c r="A18" t="s">
        <v>266</v>
      </c>
      <c r="B18" t="s">
        <v>267</v>
      </c>
      <c r="C18" t="s">
        <v>85</v>
      </c>
      <c r="D18" s="1">
        <v>46117</v>
      </c>
      <c r="E18" s="2">
        <v>0.66666666666666663</v>
      </c>
      <c r="F18" t="s">
        <v>268</v>
      </c>
      <c r="G18" t="s">
        <v>269</v>
      </c>
      <c r="H18">
        <v>0</v>
      </c>
      <c r="I18">
        <v>2</v>
      </c>
      <c r="J18" t="str">
        <f t="shared" si="0"/>
        <v>A</v>
      </c>
      <c r="N18">
        <v>2.08</v>
      </c>
      <c r="O18">
        <v>3.5</v>
      </c>
      <c r="P18">
        <v>4</v>
      </c>
      <c r="Q18">
        <v>1.99</v>
      </c>
      <c r="R18">
        <v>3.3</v>
      </c>
      <c r="S18">
        <v>3.53</v>
      </c>
      <c r="T18">
        <v>2.12</v>
      </c>
      <c r="U18">
        <v>3.55</v>
      </c>
      <c r="V18">
        <v>3.95</v>
      </c>
      <c r="W18">
        <v>1.86</v>
      </c>
      <c r="X18">
        <v>3.4</v>
      </c>
      <c r="Y18">
        <v>4</v>
      </c>
    </row>
    <row r="19" spans="1:25" x14ac:dyDescent="0.25">
      <c r="A19" t="s">
        <v>25</v>
      </c>
      <c r="B19" t="s">
        <v>26</v>
      </c>
      <c r="C19">
        <v>2026</v>
      </c>
      <c r="D19" s="1">
        <v>46116</v>
      </c>
      <c r="E19" s="2">
        <v>0.9375</v>
      </c>
      <c r="F19" t="s">
        <v>29</v>
      </c>
      <c r="G19" t="s">
        <v>38</v>
      </c>
      <c r="H19">
        <v>4</v>
      </c>
      <c r="I19">
        <v>1</v>
      </c>
      <c r="J19" t="str">
        <f t="shared" si="0"/>
        <v>H</v>
      </c>
      <c r="N19">
        <v>2.2999999999999998</v>
      </c>
      <c r="O19">
        <v>3.25</v>
      </c>
      <c r="P19">
        <v>3.55</v>
      </c>
      <c r="Q19">
        <v>2.21</v>
      </c>
      <c r="R19">
        <v>3.08</v>
      </c>
      <c r="S19">
        <v>3.35</v>
      </c>
      <c r="T19">
        <v>2.3199999999999998</v>
      </c>
      <c r="U19">
        <v>3.3</v>
      </c>
      <c r="V19">
        <v>3.65</v>
      </c>
      <c r="W19">
        <v>2.15</v>
      </c>
      <c r="X19">
        <v>3.2</v>
      </c>
      <c r="Y19">
        <v>3.5</v>
      </c>
    </row>
    <row r="20" spans="1:25" x14ac:dyDescent="0.25">
      <c r="A20" t="s">
        <v>25</v>
      </c>
      <c r="B20" t="s">
        <v>26</v>
      </c>
      <c r="C20">
        <v>2026</v>
      </c>
      <c r="D20" s="1">
        <v>46117</v>
      </c>
      <c r="E20" s="2">
        <v>2.0833333333333332E-2</v>
      </c>
      <c r="F20" t="s">
        <v>36</v>
      </c>
      <c r="G20" t="s">
        <v>34</v>
      </c>
      <c r="H20">
        <v>1</v>
      </c>
      <c r="I20">
        <v>1</v>
      </c>
      <c r="J20" t="str">
        <f t="shared" si="0"/>
        <v>D</v>
      </c>
      <c r="N20">
        <v>3.25</v>
      </c>
      <c r="O20">
        <v>3.05</v>
      </c>
      <c r="P20">
        <v>2.5499999999999998</v>
      </c>
      <c r="Q20">
        <v>3.04</v>
      </c>
      <c r="R20">
        <v>2.95</v>
      </c>
      <c r="S20">
        <v>2.44</v>
      </c>
      <c r="T20">
        <v>3.3</v>
      </c>
      <c r="U20">
        <v>3.05</v>
      </c>
      <c r="V20">
        <v>2.66</v>
      </c>
      <c r="W20">
        <v>3.1</v>
      </c>
      <c r="X20">
        <v>3</v>
      </c>
      <c r="Y20">
        <v>2.5</v>
      </c>
    </row>
    <row r="21" spans="1:25" x14ac:dyDescent="0.25">
      <c r="A21" t="s">
        <v>25</v>
      </c>
      <c r="B21" t="s">
        <v>26</v>
      </c>
      <c r="C21">
        <v>2026</v>
      </c>
      <c r="D21" s="1">
        <v>46117</v>
      </c>
      <c r="E21" s="2">
        <v>4.1666666666666664E-2</v>
      </c>
      <c r="F21" t="s">
        <v>31</v>
      </c>
      <c r="G21" t="s">
        <v>48</v>
      </c>
      <c r="H21">
        <v>1</v>
      </c>
      <c r="I21">
        <v>2</v>
      </c>
      <c r="J21" t="str">
        <f t="shared" si="0"/>
        <v>A</v>
      </c>
      <c r="N21">
        <v>1.98</v>
      </c>
      <c r="O21">
        <v>3.5</v>
      </c>
      <c r="P21">
        <v>4.25</v>
      </c>
      <c r="Q21">
        <v>1.93</v>
      </c>
      <c r="R21">
        <v>3.34</v>
      </c>
      <c r="S21">
        <v>3.82</v>
      </c>
      <c r="T21">
        <v>2.02</v>
      </c>
      <c r="U21">
        <v>3.5</v>
      </c>
      <c r="V21">
        <v>4.4000000000000004</v>
      </c>
      <c r="W21">
        <v>1.91</v>
      </c>
      <c r="X21">
        <v>3.4</v>
      </c>
      <c r="Y21">
        <v>4</v>
      </c>
    </row>
    <row r="22" spans="1:25" x14ac:dyDescent="0.25">
      <c r="A22" t="s">
        <v>25</v>
      </c>
      <c r="B22" t="s">
        <v>26</v>
      </c>
      <c r="C22">
        <v>2026</v>
      </c>
      <c r="D22" s="1">
        <v>46117</v>
      </c>
      <c r="E22" s="2">
        <v>0.83333333333333337</v>
      </c>
      <c r="F22" t="s">
        <v>30</v>
      </c>
      <c r="G22" t="s">
        <v>40</v>
      </c>
      <c r="H22">
        <v>1</v>
      </c>
      <c r="I22">
        <v>1</v>
      </c>
      <c r="J22" t="str">
        <f t="shared" si="0"/>
        <v>D</v>
      </c>
      <c r="N22">
        <v>2.71</v>
      </c>
      <c r="O22">
        <v>3.3</v>
      </c>
      <c r="P22">
        <v>2.88</v>
      </c>
      <c r="Q22">
        <v>2.5299999999999998</v>
      </c>
      <c r="R22">
        <v>3.16</v>
      </c>
      <c r="S22">
        <v>2.72</v>
      </c>
      <c r="T22">
        <v>2.72</v>
      </c>
      <c r="U22">
        <v>3.25</v>
      </c>
      <c r="V22">
        <v>3.05</v>
      </c>
      <c r="W22">
        <v>2.5</v>
      </c>
      <c r="X22">
        <v>3.2</v>
      </c>
      <c r="Y22">
        <v>2.75</v>
      </c>
    </row>
    <row r="23" spans="1:25" x14ac:dyDescent="0.25">
      <c r="A23" t="s">
        <v>25</v>
      </c>
      <c r="B23" t="s">
        <v>26</v>
      </c>
      <c r="C23">
        <v>2026</v>
      </c>
      <c r="D23" s="1">
        <v>46117</v>
      </c>
      <c r="E23" s="2">
        <v>0.89583333333333337</v>
      </c>
      <c r="F23" t="s">
        <v>41</v>
      </c>
      <c r="G23" t="s">
        <v>47</v>
      </c>
      <c r="H23">
        <v>2</v>
      </c>
      <c r="I23">
        <v>1</v>
      </c>
      <c r="J23" t="str">
        <f t="shared" si="0"/>
        <v>H</v>
      </c>
      <c r="N23">
        <v>2.2999999999999998</v>
      </c>
      <c r="O23">
        <v>3.3</v>
      </c>
      <c r="P23">
        <v>3.6</v>
      </c>
      <c r="Q23">
        <v>2.16</v>
      </c>
      <c r="R23">
        <v>3.17</v>
      </c>
      <c r="S23">
        <v>3.34</v>
      </c>
      <c r="T23">
        <v>2.2799999999999998</v>
      </c>
      <c r="U23">
        <v>3.3</v>
      </c>
      <c r="V23">
        <v>3.75</v>
      </c>
      <c r="W23">
        <v>2.1</v>
      </c>
      <c r="X23">
        <v>3.2</v>
      </c>
      <c r="Y23">
        <v>3.3</v>
      </c>
    </row>
    <row r="24" spans="1:25" x14ac:dyDescent="0.25">
      <c r="A24" t="s">
        <v>25</v>
      </c>
      <c r="B24" t="s">
        <v>26</v>
      </c>
      <c r="C24">
        <v>2026</v>
      </c>
      <c r="D24" s="1">
        <v>46117</v>
      </c>
      <c r="E24" s="2">
        <v>0.89583333333333337</v>
      </c>
      <c r="F24" t="s">
        <v>37</v>
      </c>
      <c r="G24" t="s">
        <v>44</v>
      </c>
      <c r="H24">
        <v>3</v>
      </c>
      <c r="I24">
        <v>1</v>
      </c>
      <c r="J24" t="str">
        <f t="shared" si="0"/>
        <v>H</v>
      </c>
      <c r="N24">
        <v>1.38</v>
      </c>
      <c r="O24">
        <v>4.8</v>
      </c>
      <c r="P24">
        <v>11</v>
      </c>
      <c r="Q24">
        <v>1.33</v>
      </c>
      <c r="R24">
        <v>4.6399999999999997</v>
      </c>
      <c r="S24">
        <v>8.9600000000000009</v>
      </c>
      <c r="T24">
        <v>1.37</v>
      </c>
      <c r="U24">
        <v>5.3</v>
      </c>
      <c r="V24">
        <v>12</v>
      </c>
      <c r="W24">
        <v>1.3</v>
      </c>
      <c r="X24">
        <v>4.75</v>
      </c>
      <c r="Y24">
        <v>11</v>
      </c>
    </row>
    <row r="25" spans="1:25" x14ac:dyDescent="0.25">
      <c r="A25" t="s">
        <v>25</v>
      </c>
      <c r="B25" t="s">
        <v>26</v>
      </c>
      <c r="C25">
        <v>2026</v>
      </c>
      <c r="D25" s="1">
        <v>46117</v>
      </c>
      <c r="E25" s="2">
        <v>0.97916666666666663</v>
      </c>
      <c r="F25" t="s">
        <v>39</v>
      </c>
      <c r="G25" t="s">
        <v>32</v>
      </c>
      <c r="H25">
        <v>1</v>
      </c>
      <c r="I25">
        <v>2</v>
      </c>
      <c r="J25" t="str">
        <f t="shared" si="0"/>
        <v>A</v>
      </c>
      <c r="N25">
        <v>2.65</v>
      </c>
      <c r="O25">
        <v>3.25</v>
      </c>
      <c r="P25">
        <v>2.9</v>
      </c>
      <c r="Q25">
        <v>2.5299999999999998</v>
      </c>
      <c r="R25">
        <v>3.08</v>
      </c>
      <c r="S25">
        <v>2.78</v>
      </c>
      <c r="T25">
        <v>2.7</v>
      </c>
      <c r="U25">
        <v>3.25</v>
      </c>
      <c r="V25">
        <v>3.05</v>
      </c>
      <c r="W25">
        <v>2.5</v>
      </c>
      <c r="X25">
        <v>3.1</v>
      </c>
      <c r="Y25">
        <v>2.85</v>
      </c>
    </row>
    <row r="26" spans="1:25" x14ac:dyDescent="0.25">
      <c r="A26" t="s">
        <v>25</v>
      </c>
      <c r="B26" t="s">
        <v>26</v>
      </c>
      <c r="C26">
        <v>2026</v>
      </c>
      <c r="D26" s="1">
        <v>46117</v>
      </c>
      <c r="E26" s="2">
        <v>0.97916666666666663</v>
      </c>
      <c r="F26" t="s">
        <v>35</v>
      </c>
      <c r="G26" t="s">
        <v>42</v>
      </c>
      <c r="H26">
        <v>0</v>
      </c>
      <c r="I26">
        <v>1</v>
      </c>
      <c r="J26" t="str">
        <f t="shared" si="0"/>
        <v>A</v>
      </c>
      <c r="N26">
        <v>2.2200000000000002</v>
      </c>
      <c r="O26">
        <v>3.1</v>
      </c>
      <c r="P26">
        <v>3.7</v>
      </c>
      <c r="Q26">
        <v>2.14</v>
      </c>
      <c r="R26">
        <v>3.03</v>
      </c>
      <c r="S26">
        <v>3.54</v>
      </c>
      <c r="T26">
        <v>2.3199999999999998</v>
      </c>
      <c r="U26">
        <v>3.15</v>
      </c>
      <c r="V26">
        <v>3.85</v>
      </c>
      <c r="W26">
        <v>2.1</v>
      </c>
      <c r="X26">
        <v>3</v>
      </c>
      <c r="Y26">
        <v>3.7</v>
      </c>
    </row>
    <row r="27" spans="1:25" x14ac:dyDescent="0.25">
      <c r="A27" t="s">
        <v>25</v>
      </c>
      <c r="B27" t="s">
        <v>26</v>
      </c>
      <c r="C27">
        <v>2026</v>
      </c>
      <c r="D27" s="1">
        <v>46118</v>
      </c>
      <c r="E27" s="2">
        <v>0</v>
      </c>
      <c r="F27" t="s">
        <v>43</v>
      </c>
      <c r="G27" t="s">
        <v>28</v>
      </c>
      <c r="H27">
        <v>0</v>
      </c>
      <c r="I27">
        <v>1</v>
      </c>
      <c r="J27" t="str">
        <f t="shared" si="0"/>
        <v>A</v>
      </c>
      <c r="N27">
        <v>2.2000000000000002</v>
      </c>
      <c r="O27">
        <v>3.4</v>
      </c>
      <c r="P27">
        <v>3.6</v>
      </c>
      <c r="Q27">
        <v>2.1</v>
      </c>
      <c r="R27">
        <v>3.26</v>
      </c>
      <c r="S27">
        <v>3.4</v>
      </c>
      <c r="T27">
        <v>2.2200000000000002</v>
      </c>
      <c r="U27">
        <v>3.45</v>
      </c>
      <c r="V27">
        <v>3.75</v>
      </c>
      <c r="W27">
        <v>2.1</v>
      </c>
      <c r="X27">
        <v>3.3</v>
      </c>
      <c r="Y27">
        <v>3.6</v>
      </c>
    </row>
    <row r="28" spans="1:25" x14ac:dyDescent="0.25">
      <c r="A28" t="s">
        <v>25</v>
      </c>
      <c r="B28" t="s">
        <v>26</v>
      </c>
      <c r="C28">
        <v>2026</v>
      </c>
      <c r="D28" s="1">
        <v>46118</v>
      </c>
      <c r="E28" s="2">
        <v>2.0833333333333332E-2</v>
      </c>
      <c r="F28" t="s">
        <v>27</v>
      </c>
      <c r="G28" t="s">
        <v>33</v>
      </c>
      <c r="H28">
        <v>0</v>
      </c>
      <c r="I28">
        <v>0</v>
      </c>
      <c r="J28" t="str">
        <f t="shared" si="0"/>
        <v>D</v>
      </c>
      <c r="N28">
        <v>1.74</v>
      </c>
      <c r="O28">
        <v>3.95</v>
      </c>
      <c r="P28">
        <v>5.4</v>
      </c>
      <c r="Q28">
        <v>1.67</v>
      </c>
      <c r="R28">
        <v>3.74</v>
      </c>
      <c r="S28">
        <v>4.8</v>
      </c>
      <c r="T28">
        <v>1.75</v>
      </c>
      <c r="U28">
        <v>3.85</v>
      </c>
      <c r="V28">
        <v>5.7</v>
      </c>
      <c r="W28">
        <v>1.68</v>
      </c>
      <c r="X28">
        <v>3.7</v>
      </c>
      <c r="Y28">
        <v>4.75</v>
      </c>
    </row>
    <row r="29" spans="1:25" x14ac:dyDescent="0.25">
      <c r="A29" t="s">
        <v>249</v>
      </c>
      <c r="B29" t="s">
        <v>84</v>
      </c>
      <c r="C29">
        <v>2026</v>
      </c>
      <c r="D29" s="1">
        <v>46115</v>
      </c>
      <c r="E29" s="2">
        <v>0.52430555555555558</v>
      </c>
      <c r="F29" t="s">
        <v>264</v>
      </c>
      <c r="G29" t="s">
        <v>265</v>
      </c>
      <c r="H29">
        <v>5</v>
      </c>
      <c r="I29">
        <v>1</v>
      </c>
      <c r="J29" t="str">
        <f t="shared" si="0"/>
        <v>H</v>
      </c>
      <c r="N29">
        <v>1.44</v>
      </c>
      <c r="O29">
        <v>4.9000000000000004</v>
      </c>
      <c r="P29">
        <v>8</v>
      </c>
      <c r="Q29">
        <v>1.39</v>
      </c>
      <c r="R29">
        <v>4.55</v>
      </c>
      <c r="S29">
        <v>6.56</v>
      </c>
      <c r="T29">
        <v>1.45</v>
      </c>
      <c r="U29">
        <v>5.0999999999999996</v>
      </c>
      <c r="V29">
        <v>8.4</v>
      </c>
      <c r="W29">
        <v>1.42</v>
      </c>
      <c r="X29">
        <v>4.5</v>
      </c>
      <c r="Y29">
        <v>6.5</v>
      </c>
    </row>
    <row r="30" spans="1:25" x14ac:dyDescent="0.25">
      <c r="A30" t="s">
        <v>249</v>
      </c>
      <c r="B30" t="s">
        <v>84</v>
      </c>
      <c r="C30">
        <v>2026</v>
      </c>
      <c r="D30" s="1">
        <v>46116</v>
      </c>
      <c r="E30" s="2">
        <v>0.35416666666666669</v>
      </c>
      <c r="F30" t="s">
        <v>260</v>
      </c>
      <c r="G30" t="s">
        <v>261</v>
      </c>
      <c r="H30">
        <v>2</v>
      </c>
      <c r="I30">
        <v>1</v>
      </c>
      <c r="J30" t="str">
        <f t="shared" si="0"/>
        <v>H</v>
      </c>
      <c r="N30">
        <v>3.4</v>
      </c>
      <c r="O30">
        <v>3.75</v>
      </c>
      <c r="P30">
        <v>2.15</v>
      </c>
      <c r="Q30">
        <v>3.08</v>
      </c>
      <c r="R30">
        <v>3.58</v>
      </c>
      <c r="S30">
        <v>2.06</v>
      </c>
      <c r="T30">
        <v>3.25</v>
      </c>
      <c r="U30">
        <v>3.85</v>
      </c>
      <c r="V30">
        <v>2.2400000000000002</v>
      </c>
      <c r="W30">
        <v>3.1</v>
      </c>
      <c r="X30">
        <v>3.7</v>
      </c>
      <c r="Y30">
        <v>2.1</v>
      </c>
    </row>
    <row r="31" spans="1:25" x14ac:dyDescent="0.25">
      <c r="A31" t="s">
        <v>249</v>
      </c>
      <c r="B31" t="s">
        <v>84</v>
      </c>
      <c r="C31">
        <v>2026</v>
      </c>
      <c r="D31" s="1">
        <v>46116</v>
      </c>
      <c r="E31" s="2">
        <v>0.35416666666666669</v>
      </c>
      <c r="F31" t="s">
        <v>262</v>
      </c>
      <c r="G31" t="s">
        <v>263</v>
      </c>
      <c r="H31">
        <v>1</v>
      </c>
      <c r="I31">
        <v>0</v>
      </c>
      <c r="J31" t="str">
        <f t="shared" si="0"/>
        <v>H</v>
      </c>
      <c r="N31">
        <v>4.75</v>
      </c>
      <c r="O31">
        <v>3.9</v>
      </c>
      <c r="P31">
        <v>1.81</v>
      </c>
      <c r="Q31">
        <v>4.0199999999999996</v>
      </c>
      <c r="R31">
        <v>3.71</v>
      </c>
      <c r="S31">
        <v>1.75</v>
      </c>
      <c r="T31">
        <v>4.3</v>
      </c>
      <c r="U31">
        <v>4</v>
      </c>
      <c r="V31">
        <v>1.87</v>
      </c>
      <c r="W31">
        <v>4.75</v>
      </c>
      <c r="X31">
        <v>3.8</v>
      </c>
      <c r="Y31">
        <v>1.66</v>
      </c>
    </row>
    <row r="32" spans="1:25" x14ac:dyDescent="0.25">
      <c r="A32" t="s">
        <v>249</v>
      </c>
      <c r="B32" t="s">
        <v>84</v>
      </c>
      <c r="C32">
        <v>2026</v>
      </c>
      <c r="D32" s="1">
        <v>46116</v>
      </c>
      <c r="E32" s="2">
        <v>0.5</v>
      </c>
      <c r="F32" t="s">
        <v>258</v>
      </c>
      <c r="G32" t="s">
        <v>259</v>
      </c>
      <c r="H32">
        <v>1</v>
      </c>
      <c r="I32">
        <v>2</v>
      </c>
      <c r="J32" t="str">
        <f t="shared" si="0"/>
        <v>A</v>
      </c>
      <c r="N32">
        <v>1.84</v>
      </c>
      <c r="O32">
        <v>3.9</v>
      </c>
      <c r="P32">
        <v>4.3</v>
      </c>
      <c r="Q32">
        <v>1.78</v>
      </c>
      <c r="R32">
        <v>3.73</v>
      </c>
      <c r="S32">
        <v>3.83</v>
      </c>
      <c r="T32">
        <v>1.95</v>
      </c>
      <c r="U32">
        <v>4</v>
      </c>
      <c r="V32">
        <v>4.0999999999999996</v>
      </c>
      <c r="W32">
        <v>1.81</v>
      </c>
      <c r="X32">
        <v>3.7</v>
      </c>
      <c r="Y32">
        <v>3.9</v>
      </c>
    </row>
    <row r="33" spans="1:25" x14ac:dyDescent="0.25">
      <c r="A33" t="s">
        <v>249</v>
      </c>
      <c r="B33" t="s">
        <v>84</v>
      </c>
      <c r="C33">
        <v>2026</v>
      </c>
      <c r="D33" s="1">
        <v>46116</v>
      </c>
      <c r="E33" s="2">
        <v>0.52430555555555558</v>
      </c>
      <c r="F33" t="s">
        <v>256</v>
      </c>
      <c r="G33" t="s">
        <v>257</v>
      </c>
      <c r="H33">
        <v>2</v>
      </c>
      <c r="I33">
        <v>1</v>
      </c>
      <c r="J33" t="str">
        <f t="shared" si="0"/>
        <v>H</v>
      </c>
      <c r="N33">
        <v>1.83</v>
      </c>
      <c r="O33">
        <v>4.0999999999999996</v>
      </c>
      <c r="P33">
        <v>3.9</v>
      </c>
      <c r="Q33">
        <v>1.76</v>
      </c>
      <c r="R33">
        <v>3.97</v>
      </c>
      <c r="S33">
        <v>3.66</v>
      </c>
      <c r="T33">
        <v>1.86</v>
      </c>
      <c r="U33">
        <v>4.4000000000000004</v>
      </c>
      <c r="V33">
        <v>4</v>
      </c>
      <c r="W33">
        <v>1.79</v>
      </c>
      <c r="X33">
        <v>4.0999999999999996</v>
      </c>
      <c r="Y33">
        <v>3.75</v>
      </c>
    </row>
    <row r="34" spans="1:25" x14ac:dyDescent="0.25">
      <c r="A34" t="s">
        <v>249</v>
      </c>
      <c r="B34" t="s">
        <v>84</v>
      </c>
      <c r="C34">
        <v>2026</v>
      </c>
      <c r="D34" s="1">
        <v>46117</v>
      </c>
      <c r="E34" s="2">
        <v>0.35416666666666669</v>
      </c>
      <c r="F34" t="s">
        <v>254</v>
      </c>
      <c r="G34" t="s">
        <v>255</v>
      </c>
      <c r="H34">
        <v>0</v>
      </c>
      <c r="I34">
        <v>1</v>
      </c>
      <c r="J34" t="str">
        <f t="shared" ref="J34:J65" si="1">IF(H34&gt;I34,"H",IF(H34=I34,"D","A"))</f>
        <v>A</v>
      </c>
      <c r="N34">
        <v>1.38</v>
      </c>
      <c r="O34">
        <v>5</v>
      </c>
      <c r="P34">
        <v>8.6999999999999993</v>
      </c>
      <c r="Q34">
        <v>1.34</v>
      </c>
      <c r="R34">
        <v>4.83</v>
      </c>
      <c r="S34">
        <v>7.4</v>
      </c>
      <c r="W34">
        <v>1.33</v>
      </c>
      <c r="X34">
        <v>5</v>
      </c>
      <c r="Y34">
        <v>7.5</v>
      </c>
    </row>
    <row r="35" spans="1:25" x14ac:dyDescent="0.25">
      <c r="A35" t="s">
        <v>249</v>
      </c>
      <c r="B35" t="s">
        <v>84</v>
      </c>
      <c r="C35">
        <v>2026</v>
      </c>
      <c r="D35" s="1">
        <v>46117</v>
      </c>
      <c r="E35" s="2">
        <v>0.5</v>
      </c>
      <c r="F35" t="s">
        <v>252</v>
      </c>
      <c r="G35" t="s">
        <v>253</v>
      </c>
      <c r="H35">
        <v>5</v>
      </c>
      <c r="I35">
        <v>2</v>
      </c>
      <c r="J35" t="str">
        <f t="shared" si="1"/>
        <v>H</v>
      </c>
      <c r="N35">
        <v>1.96</v>
      </c>
      <c r="O35">
        <v>3.5</v>
      </c>
      <c r="P35">
        <v>4.0999999999999996</v>
      </c>
      <c r="Q35">
        <v>1.89</v>
      </c>
      <c r="R35">
        <v>3.39</v>
      </c>
      <c r="S35">
        <v>3.74</v>
      </c>
      <c r="T35">
        <v>1.99</v>
      </c>
      <c r="U35">
        <v>3.7</v>
      </c>
      <c r="V35">
        <v>4.3</v>
      </c>
      <c r="W35">
        <v>1.86</v>
      </c>
      <c r="X35">
        <v>3.5</v>
      </c>
      <c r="Y35">
        <v>4.0999999999999996</v>
      </c>
    </row>
    <row r="36" spans="1:25" x14ac:dyDescent="0.25">
      <c r="A36" t="s">
        <v>249</v>
      </c>
      <c r="B36" t="s">
        <v>84</v>
      </c>
      <c r="C36">
        <v>2026</v>
      </c>
      <c r="D36" s="1">
        <v>46117</v>
      </c>
      <c r="E36" s="2">
        <v>0.52430555555555558</v>
      </c>
      <c r="F36" t="s">
        <v>250</v>
      </c>
      <c r="G36" t="s">
        <v>251</v>
      </c>
      <c r="H36">
        <v>2</v>
      </c>
      <c r="I36">
        <v>3</v>
      </c>
      <c r="J36" t="str">
        <f t="shared" si="1"/>
        <v>A</v>
      </c>
      <c r="N36">
        <v>4.9000000000000004</v>
      </c>
      <c r="O36">
        <v>4</v>
      </c>
      <c r="P36">
        <v>1.67</v>
      </c>
      <c r="Q36">
        <v>4.54</v>
      </c>
      <c r="R36">
        <v>3.88</v>
      </c>
      <c r="S36">
        <v>1.63</v>
      </c>
      <c r="T36">
        <v>5</v>
      </c>
      <c r="U36">
        <v>4.2</v>
      </c>
      <c r="V36">
        <v>1.75</v>
      </c>
      <c r="W36">
        <v>4.5</v>
      </c>
      <c r="X36">
        <v>3.9</v>
      </c>
      <c r="Y36">
        <v>1.62</v>
      </c>
    </row>
    <row r="37" spans="1:25" x14ac:dyDescent="0.25">
      <c r="A37" t="s">
        <v>236</v>
      </c>
      <c r="B37" t="s">
        <v>135</v>
      </c>
      <c r="C37" t="s">
        <v>85</v>
      </c>
      <c r="D37" s="1">
        <v>46116</v>
      </c>
      <c r="E37" s="2">
        <v>0.70833333333333337</v>
      </c>
      <c r="F37" t="s">
        <v>245</v>
      </c>
      <c r="G37" t="s">
        <v>246</v>
      </c>
      <c r="H37">
        <v>2</v>
      </c>
      <c r="I37">
        <v>2</v>
      </c>
      <c r="J37" t="str">
        <f t="shared" si="1"/>
        <v>D</v>
      </c>
      <c r="N37">
        <v>1.49</v>
      </c>
      <c r="O37">
        <v>4.75</v>
      </c>
      <c r="P37">
        <v>6.5</v>
      </c>
      <c r="Q37">
        <v>1.43</v>
      </c>
      <c r="R37">
        <v>4.5199999999999996</v>
      </c>
      <c r="S37">
        <v>6.06</v>
      </c>
      <c r="T37">
        <v>1.48</v>
      </c>
      <c r="U37">
        <v>5.3</v>
      </c>
      <c r="V37">
        <v>7.2</v>
      </c>
      <c r="W37">
        <v>1.42</v>
      </c>
      <c r="X37">
        <v>4.75</v>
      </c>
      <c r="Y37">
        <v>6.5</v>
      </c>
    </row>
    <row r="38" spans="1:25" x14ac:dyDescent="0.25">
      <c r="A38" t="s">
        <v>236</v>
      </c>
      <c r="B38" t="s">
        <v>135</v>
      </c>
      <c r="C38" t="s">
        <v>85</v>
      </c>
      <c r="D38" s="1">
        <v>46117</v>
      </c>
      <c r="E38" s="2">
        <v>0.70833333333333337</v>
      </c>
      <c r="F38" t="s">
        <v>243</v>
      </c>
      <c r="G38" t="s">
        <v>244</v>
      </c>
      <c r="H38">
        <v>7</v>
      </c>
      <c r="I38">
        <v>0</v>
      </c>
      <c r="J38" t="str">
        <f t="shared" si="1"/>
        <v>H</v>
      </c>
      <c r="N38">
        <v>1.38</v>
      </c>
      <c r="O38">
        <v>5.33</v>
      </c>
      <c r="P38">
        <v>8.25</v>
      </c>
      <c r="Q38">
        <v>1.33</v>
      </c>
      <c r="R38">
        <v>5.14</v>
      </c>
      <c r="S38">
        <v>7.01</v>
      </c>
      <c r="T38">
        <v>1.36</v>
      </c>
      <c r="U38">
        <v>6.2</v>
      </c>
      <c r="V38">
        <v>8.8000000000000007</v>
      </c>
      <c r="W38">
        <v>1.33</v>
      </c>
      <c r="X38">
        <v>5.25</v>
      </c>
      <c r="Y38">
        <v>7</v>
      </c>
    </row>
    <row r="39" spans="1:25" x14ac:dyDescent="0.25">
      <c r="A39" t="s">
        <v>236</v>
      </c>
      <c r="B39" t="s">
        <v>135</v>
      </c>
      <c r="C39" t="s">
        <v>85</v>
      </c>
      <c r="D39" s="1">
        <v>46118</v>
      </c>
      <c r="E39" s="2">
        <v>0.54166666666666663</v>
      </c>
      <c r="F39" t="s">
        <v>241</v>
      </c>
      <c r="G39" t="s">
        <v>242</v>
      </c>
      <c r="H39">
        <v>1</v>
      </c>
      <c r="I39">
        <v>1</v>
      </c>
      <c r="J39" t="str">
        <f t="shared" si="1"/>
        <v>D</v>
      </c>
      <c r="N39">
        <v>3</v>
      </c>
      <c r="O39">
        <v>3.35</v>
      </c>
      <c r="P39">
        <v>2.4500000000000002</v>
      </c>
      <c r="Q39">
        <v>2.84</v>
      </c>
      <c r="R39">
        <v>3.23</v>
      </c>
      <c r="S39">
        <v>2.34</v>
      </c>
      <c r="T39">
        <v>3.1</v>
      </c>
      <c r="U39">
        <v>3.35</v>
      </c>
      <c r="V39">
        <v>2.56</v>
      </c>
      <c r="W39">
        <v>2.82</v>
      </c>
      <c r="X39">
        <v>3.2</v>
      </c>
      <c r="Y39">
        <v>2.4500000000000002</v>
      </c>
    </row>
    <row r="40" spans="1:25" x14ac:dyDescent="0.25">
      <c r="A40" t="s">
        <v>236</v>
      </c>
      <c r="B40" t="s">
        <v>135</v>
      </c>
      <c r="C40" t="s">
        <v>85</v>
      </c>
      <c r="D40" s="1">
        <v>46118</v>
      </c>
      <c r="E40" s="2">
        <v>0.625</v>
      </c>
      <c r="F40" t="s">
        <v>239</v>
      </c>
      <c r="G40" t="s">
        <v>240</v>
      </c>
      <c r="H40">
        <v>1</v>
      </c>
      <c r="I40">
        <v>0</v>
      </c>
      <c r="J40" t="str">
        <f t="shared" si="1"/>
        <v>H</v>
      </c>
      <c r="N40">
        <v>1.6</v>
      </c>
      <c r="O40">
        <v>4.5</v>
      </c>
      <c r="P40">
        <v>5</v>
      </c>
      <c r="Q40">
        <v>1.55</v>
      </c>
      <c r="R40">
        <v>4.2699999999999996</v>
      </c>
      <c r="S40">
        <v>4.68</v>
      </c>
      <c r="T40">
        <v>1.63</v>
      </c>
      <c r="U40">
        <v>4.7</v>
      </c>
      <c r="V40">
        <v>5.3</v>
      </c>
      <c r="W40">
        <v>1.53</v>
      </c>
      <c r="X40">
        <v>4.5</v>
      </c>
      <c r="Y40">
        <v>4.75</v>
      </c>
    </row>
    <row r="41" spans="1:25" x14ac:dyDescent="0.25">
      <c r="A41" t="s">
        <v>236</v>
      </c>
      <c r="B41" t="s">
        <v>135</v>
      </c>
      <c r="C41" t="s">
        <v>85</v>
      </c>
      <c r="D41" s="1">
        <v>46118</v>
      </c>
      <c r="E41" s="2">
        <v>0.70833333333333337</v>
      </c>
      <c r="F41" t="s">
        <v>237</v>
      </c>
      <c r="G41" t="s">
        <v>238</v>
      </c>
      <c r="H41">
        <v>1</v>
      </c>
      <c r="I41">
        <v>2</v>
      </c>
      <c r="J41" t="str">
        <f t="shared" si="1"/>
        <v>A</v>
      </c>
      <c r="N41">
        <v>3</v>
      </c>
      <c r="O41">
        <v>3.45</v>
      </c>
      <c r="P41">
        <v>2.37</v>
      </c>
      <c r="Q41">
        <v>2.88</v>
      </c>
      <c r="R41">
        <v>3.32</v>
      </c>
      <c r="S41">
        <v>2.27</v>
      </c>
      <c r="T41">
        <v>3.2</v>
      </c>
      <c r="U41">
        <v>3.5</v>
      </c>
      <c r="V41">
        <v>2.46</v>
      </c>
      <c r="W41">
        <v>3</v>
      </c>
      <c r="X41">
        <v>3.4</v>
      </c>
      <c r="Y41">
        <v>2.3199999999999998</v>
      </c>
    </row>
    <row r="42" spans="1:25" x14ac:dyDescent="0.25">
      <c r="A42" t="s">
        <v>236</v>
      </c>
      <c r="B42" t="s">
        <v>135</v>
      </c>
      <c r="C42" t="s">
        <v>85</v>
      </c>
      <c r="D42" s="1">
        <v>46119</v>
      </c>
      <c r="E42" s="2">
        <v>0.75</v>
      </c>
      <c r="F42" t="s">
        <v>247</v>
      </c>
      <c r="G42" t="s">
        <v>248</v>
      </c>
      <c r="H42">
        <v>2</v>
      </c>
      <c r="I42">
        <v>1</v>
      </c>
      <c r="J42" t="str">
        <f t="shared" si="1"/>
        <v>H</v>
      </c>
      <c r="N42">
        <v>2.2000000000000002</v>
      </c>
      <c r="O42">
        <v>3.7</v>
      </c>
      <c r="P42">
        <v>3.2</v>
      </c>
      <c r="Q42">
        <v>2.11</v>
      </c>
      <c r="R42">
        <v>3.51</v>
      </c>
      <c r="S42">
        <v>3</v>
      </c>
      <c r="T42">
        <v>2.2200000000000002</v>
      </c>
      <c r="U42">
        <v>3.75</v>
      </c>
      <c r="V42">
        <v>3.4</v>
      </c>
      <c r="W42">
        <v>2.0099999999999998</v>
      </c>
      <c r="X42">
        <v>3.3</v>
      </c>
      <c r="Y42">
        <v>3.1</v>
      </c>
    </row>
    <row r="43" spans="1:25" x14ac:dyDescent="0.25">
      <c r="A43" t="s">
        <v>222</v>
      </c>
      <c r="B43" t="s">
        <v>223</v>
      </c>
      <c r="C43">
        <v>2026</v>
      </c>
      <c r="D43" s="1">
        <v>46116</v>
      </c>
      <c r="E43" s="2">
        <v>0.45833333333333331</v>
      </c>
      <c r="F43" t="s">
        <v>234</v>
      </c>
      <c r="G43" t="s">
        <v>235</v>
      </c>
      <c r="H43">
        <v>0</v>
      </c>
      <c r="I43">
        <v>0</v>
      </c>
      <c r="J43" t="str">
        <f t="shared" si="1"/>
        <v>D</v>
      </c>
      <c r="N43">
        <v>1.42</v>
      </c>
      <c r="O43">
        <v>4.8</v>
      </c>
      <c r="P43">
        <v>7.5</v>
      </c>
      <c r="Q43">
        <v>1.38</v>
      </c>
      <c r="R43">
        <v>4.3899999999999997</v>
      </c>
      <c r="S43">
        <v>7.01</v>
      </c>
      <c r="T43">
        <v>1.46</v>
      </c>
      <c r="U43">
        <v>4.8</v>
      </c>
      <c r="V43">
        <v>8.6</v>
      </c>
      <c r="W43">
        <v>1.4</v>
      </c>
      <c r="X43">
        <v>4</v>
      </c>
      <c r="Y43">
        <v>7</v>
      </c>
    </row>
    <row r="44" spans="1:25" x14ac:dyDescent="0.25">
      <c r="A44" t="s">
        <v>222</v>
      </c>
      <c r="B44" t="s">
        <v>223</v>
      </c>
      <c r="C44">
        <v>2026</v>
      </c>
      <c r="D44" s="1">
        <v>46116</v>
      </c>
      <c r="E44" s="2">
        <v>0.54166666666666663</v>
      </c>
      <c r="F44" t="s">
        <v>232</v>
      </c>
      <c r="G44" t="s">
        <v>233</v>
      </c>
      <c r="H44">
        <v>3</v>
      </c>
      <c r="I44">
        <v>0</v>
      </c>
      <c r="J44" t="str">
        <f t="shared" si="1"/>
        <v>H</v>
      </c>
      <c r="N44">
        <v>1.57</v>
      </c>
      <c r="O44">
        <v>4.3499999999999996</v>
      </c>
      <c r="P44">
        <v>5.5</v>
      </c>
      <c r="Q44">
        <v>1.51</v>
      </c>
      <c r="R44">
        <v>4.25</v>
      </c>
      <c r="S44">
        <v>5.1100000000000003</v>
      </c>
      <c r="T44">
        <v>1.59</v>
      </c>
      <c r="U44">
        <v>4.7</v>
      </c>
      <c r="V44">
        <v>6</v>
      </c>
      <c r="W44">
        <v>1.53</v>
      </c>
      <c r="X44">
        <v>4.33</v>
      </c>
      <c r="Y44">
        <v>4.75</v>
      </c>
    </row>
    <row r="45" spans="1:25" x14ac:dyDescent="0.25">
      <c r="A45" t="s">
        <v>222</v>
      </c>
      <c r="B45" t="s">
        <v>223</v>
      </c>
      <c r="C45">
        <v>2026</v>
      </c>
      <c r="D45" s="1">
        <v>46116</v>
      </c>
      <c r="E45" s="2">
        <v>0.625</v>
      </c>
      <c r="F45" t="s">
        <v>226</v>
      </c>
      <c r="G45" t="s">
        <v>227</v>
      </c>
      <c r="H45">
        <v>1</v>
      </c>
      <c r="I45">
        <v>3</v>
      </c>
      <c r="J45" t="str">
        <f t="shared" si="1"/>
        <v>A</v>
      </c>
      <c r="N45">
        <v>2.65</v>
      </c>
      <c r="O45">
        <v>3.4</v>
      </c>
      <c r="P45">
        <v>2.8</v>
      </c>
      <c r="Q45">
        <v>2.54</v>
      </c>
      <c r="R45">
        <v>3.3</v>
      </c>
      <c r="S45">
        <v>2.52</v>
      </c>
      <c r="T45">
        <v>2.8</v>
      </c>
      <c r="U45">
        <v>3.6</v>
      </c>
      <c r="V45">
        <v>2.68</v>
      </c>
      <c r="W45">
        <v>2.6</v>
      </c>
      <c r="X45">
        <v>3.3</v>
      </c>
      <c r="Y45">
        <v>2.4</v>
      </c>
    </row>
    <row r="46" spans="1:25" x14ac:dyDescent="0.25">
      <c r="A46" t="s">
        <v>222</v>
      </c>
      <c r="B46" t="s">
        <v>223</v>
      </c>
      <c r="C46">
        <v>2026</v>
      </c>
      <c r="D46" s="1">
        <v>46116</v>
      </c>
      <c r="E46" s="2">
        <v>0.625</v>
      </c>
      <c r="F46" t="s">
        <v>228</v>
      </c>
      <c r="G46" t="s">
        <v>229</v>
      </c>
      <c r="H46">
        <v>0</v>
      </c>
      <c r="I46">
        <v>1</v>
      </c>
      <c r="J46" t="str">
        <f t="shared" si="1"/>
        <v>A</v>
      </c>
      <c r="N46">
        <v>3.1</v>
      </c>
      <c r="O46">
        <v>3.5</v>
      </c>
      <c r="P46">
        <v>2.35</v>
      </c>
      <c r="Q46">
        <v>2.89</v>
      </c>
      <c r="R46">
        <v>3.41</v>
      </c>
      <c r="S46">
        <v>2.2000000000000002</v>
      </c>
      <c r="T46">
        <v>3.3</v>
      </c>
      <c r="U46">
        <v>3.6</v>
      </c>
      <c r="V46">
        <v>2.34</v>
      </c>
      <c r="W46">
        <v>3</v>
      </c>
      <c r="X46">
        <v>3.3</v>
      </c>
      <c r="Y46">
        <v>2.2000000000000002</v>
      </c>
    </row>
    <row r="47" spans="1:25" x14ac:dyDescent="0.25">
      <c r="A47" t="s">
        <v>222</v>
      </c>
      <c r="B47" t="s">
        <v>223</v>
      </c>
      <c r="C47">
        <v>2026</v>
      </c>
      <c r="D47" s="1">
        <v>46116</v>
      </c>
      <c r="E47" s="2">
        <v>0.625</v>
      </c>
      <c r="F47" t="s">
        <v>230</v>
      </c>
      <c r="G47" t="s">
        <v>231</v>
      </c>
      <c r="H47">
        <v>1</v>
      </c>
      <c r="I47">
        <v>1</v>
      </c>
      <c r="J47" t="str">
        <f t="shared" si="1"/>
        <v>D</v>
      </c>
      <c r="N47">
        <v>1.85</v>
      </c>
      <c r="O47">
        <v>3.6</v>
      </c>
      <c r="P47">
        <v>4.33</v>
      </c>
      <c r="Q47">
        <v>1.78</v>
      </c>
      <c r="R47">
        <v>3.52</v>
      </c>
      <c r="S47">
        <v>4.03</v>
      </c>
      <c r="T47">
        <v>1.88</v>
      </c>
      <c r="U47">
        <v>3.85</v>
      </c>
      <c r="V47">
        <v>4.4000000000000004</v>
      </c>
      <c r="W47">
        <v>1.75</v>
      </c>
      <c r="X47">
        <v>3.5</v>
      </c>
      <c r="Y47">
        <v>4.33</v>
      </c>
    </row>
    <row r="48" spans="1:25" x14ac:dyDescent="0.25">
      <c r="A48" t="s">
        <v>222</v>
      </c>
      <c r="B48" t="s">
        <v>223</v>
      </c>
      <c r="C48">
        <v>2026</v>
      </c>
      <c r="D48" s="1">
        <v>46116</v>
      </c>
      <c r="E48" s="2">
        <v>0.70833333333333337</v>
      </c>
      <c r="F48" t="s">
        <v>224</v>
      </c>
      <c r="G48" t="s">
        <v>225</v>
      </c>
      <c r="H48">
        <v>1</v>
      </c>
      <c r="I48">
        <v>5</v>
      </c>
      <c r="J48" t="str">
        <f t="shared" si="1"/>
        <v>A</v>
      </c>
      <c r="N48">
        <v>2.8</v>
      </c>
      <c r="O48">
        <v>3.6</v>
      </c>
      <c r="P48">
        <v>2.36</v>
      </c>
      <c r="Q48">
        <v>2.68</v>
      </c>
      <c r="R48">
        <v>3.5</v>
      </c>
      <c r="S48">
        <v>2.29</v>
      </c>
      <c r="T48">
        <v>2.92</v>
      </c>
      <c r="U48">
        <v>3.7</v>
      </c>
      <c r="V48">
        <v>2.5</v>
      </c>
      <c r="W48">
        <v>2.6</v>
      </c>
      <c r="X48">
        <v>3.5</v>
      </c>
      <c r="Y48">
        <v>2.2999999999999998</v>
      </c>
    </row>
    <row r="49" spans="1:25" x14ac:dyDescent="0.25">
      <c r="A49" t="s">
        <v>210</v>
      </c>
      <c r="B49" t="s">
        <v>211</v>
      </c>
      <c r="C49">
        <v>2026</v>
      </c>
      <c r="D49" s="1">
        <v>46115</v>
      </c>
      <c r="E49" s="2">
        <v>0.82291666666666663</v>
      </c>
      <c r="F49" t="s">
        <v>216</v>
      </c>
      <c r="G49" t="s">
        <v>212</v>
      </c>
      <c r="H49">
        <v>0</v>
      </c>
      <c r="I49">
        <v>0</v>
      </c>
      <c r="J49" t="str">
        <f t="shared" si="1"/>
        <v>D</v>
      </c>
      <c r="N49">
        <v>4.2</v>
      </c>
      <c r="O49">
        <v>3.3</v>
      </c>
      <c r="P49">
        <v>1.9</v>
      </c>
      <c r="Q49">
        <v>4.03</v>
      </c>
      <c r="R49">
        <v>3.15</v>
      </c>
      <c r="S49">
        <v>1.85</v>
      </c>
      <c r="T49">
        <v>4.7</v>
      </c>
      <c r="U49">
        <v>3.35</v>
      </c>
      <c r="V49">
        <v>2</v>
      </c>
      <c r="W49">
        <v>4.2</v>
      </c>
      <c r="X49">
        <v>3.1</v>
      </c>
      <c r="Y49">
        <v>1.85</v>
      </c>
    </row>
    <row r="50" spans="1:25" x14ac:dyDescent="0.25">
      <c r="A50" t="s">
        <v>210</v>
      </c>
      <c r="B50" t="s">
        <v>211</v>
      </c>
      <c r="C50">
        <v>2026</v>
      </c>
      <c r="D50" s="1">
        <v>46115</v>
      </c>
      <c r="E50" s="2">
        <v>0.82291666666666663</v>
      </c>
      <c r="F50" t="s">
        <v>221</v>
      </c>
      <c r="G50" t="s">
        <v>218</v>
      </c>
      <c r="H50">
        <v>2</v>
      </c>
      <c r="I50">
        <v>3</v>
      </c>
      <c r="J50" t="str">
        <f t="shared" si="1"/>
        <v>A</v>
      </c>
      <c r="N50">
        <v>1.76</v>
      </c>
      <c r="O50">
        <v>3.7</v>
      </c>
      <c r="P50">
        <v>4.8499999999999996</v>
      </c>
      <c r="Q50">
        <v>1.7</v>
      </c>
      <c r="R50">
        <v>3.52</v>
      </c>
      <c r="S50">
        <v>4.33</v>
      </c>
      <c r="T50">
        <v>1.78</v>
      </c>
      <c r="U50">
        <v>3.95</v>
      </c>
      <c r="V50">
        <v>5.2</v>
      </c>
      <c r="W50">
        <v>1.7</v>
      </c>
      <c r="X50">
        <v>3.5</v>
      </c>
      <c r="Y50">
        <v>4.5</v>
      </c>
    </row>
    <row r="51" spans="1:25" x14ac:dyDescent="0.25">
      <c r="A51" t="s">
        <v>210</v>
      </c>
      <c r="B51" t="s">
        <v>211</v>
      </c>
      <c r="C51">
        <v>2026</v>
      </c>
      <c r="D51" s="1">
        <v>46115</v>
      </c>
      <c r="E51" s="2">
        <v>0.82291666666666663</v>
      </c>
      <c r="F51" t="s">
        <v>219</v>
      </c>
      <c r="G51" t="s">
        <v>214</v>
      </c>
      <c r="H51">
        <v>4</v>
      </c>
      <c r="I51">
        <v>1</v>
      </c>
      <c r="J51" t="str">
        <f t="shared" si="1"/>
        <v>H</v>
      </c>
      <c r="N51">
        <v>1.33</v>
      </c>
      <c r="O51">
        <v>5</v>
      </c>
      <c r="P51">
        <v>13</v>
      </c>
      <c r="Q51">
        <v>1.28</v>
      </c>
      <c r="R51">
        <v>4.67</v>
      </c>
      <c r="S51">
        <v>9.3800000000000008</v>
      </c>
      <c r="T51">
        <v>1.33</v>
      </c>
      <c r="U51">
        <v>5.5</v>
      </c>
      <c r="V51">
        <v>13</v>
      </c>
      <c r="W51">
        <v>1.27</v>
      </c>
      <c r="X51">
        <v>4.5</v>
      </c>
      <c r="Y51">
        <v>11</v>
      </c>
    </row>
    <row r="52" spans="1:25" x14ac:dyDescent="0.25">
      <c r="A52" t="s">
        <v>210</v>
      </c>
      <c r="B52" t="s">
        <v>211</v>
      </c>
      <c r="C52">
        <v>2026</v>
      </c>
      <c r="D52" s="1">
        <v>46115</v>
      </c>
      <c r="E52" s="2">
        <v>0.82291666666666663</v>
      </c>
      <c r="F52" t="s">
        <v>213</v>
      </c>
      <c r="G52" t="s">
        <v>220</v>
      </c>
      <c r="H52">
        <v>1</v>
      </c>
      <c r="I52">
        <v>1</v>
      </c>
      <c r="J52" t="str">
        <f t="shared" si="1"/>
        <v>D</v>
      </c>
      <c r="N52">
        <v>6.5</v>
      </c>
      <c r="O52">
        <v>4.2</v>
      </c>
      <c r="P52">
        <v>1.49</v>
      </c>
      <c r="Q52">
        <v>6.05</v>
      </c>
      <c r="R52">
        <v>4.01</v>
      </c>
      <c r="S52">
        <v>1.44</v>
      </c>
      <c r="T52">
        <v>7.2</v>
      </c>
      <c r="U52">
        <v>4.5</v>
      </c>
      <c r="V52">
        <v>1.52</v>
      </c>
      <c r="W52">
        <v>6</v>
      </c>
      <c r="X52">
        <v>4</v>
      </c>
      <c r="Y52">
        <v>1.45</v>
      </c>
    </row>
    <row r="53" spans="1:25" x14ac:dyDescent="0.25">
      <c r="A53" t="s">
        <v>210</v>
      </c>
      <c r="B53" t="s">
        <v>211</v>
      </c>
      <c r="C53">
        <v>2026</v>
      </c>
      <c r="D53" s="1">
        <v>46115</v>
      </c>
      <c r="E53" s="2">
        <v>0.83333333333333337</v>
      </c>
      <c r="F53" t="s">
        <v>217</v>
      </c>
      <c r="G53" t="s">
        <v>215</v>
      </c>
      <c r="H53">
        <v>2</v>
      </c>
      <c r="I53">
        <v>1</v>
      </c>
      <c r="J53" t="str">
        <f t="shared" si="1"/>
        <v>H</v>
      </c>
      <c r="N53">
        <v>2.82</v>
      </c>
      <c r="O53">
        <v>3.1</v>
      </c>
      <c r="P53">
        <v>2.7</v>
      </c>
      <c r="Q53">
        <v>2.71</v>
      </c>
      <c r="R53">
        <v>2.92</v>
      </c>
      <c r="S53">
        <v>2.5499999999999998</v>
      </c>
      <c r="T53">
        <v>3.05</v>
      </c>
      <c r="U53">
        <v>2.98</v>
      </c>
      <c r="V53">
        <v>2.9</v>
      </c>
      <c r="W53">
        <v>2.7</v>
      </c>
      <c r="X53">
        <v>2.88</v>
      </c>
      <c r="Y53">
        <v>2.6</v>
      </c>
    </row>
    <row r="54" spans="1:25" x14ac:dyDescent="0.25">
      <c r="A54" t="s">
        <v>210</v>
      </c>
      <c r="B54" t="s">
        <v>211</v>
      </c>
      <c r="C54">
        <v>2026</v>
      </c>
      <c r="D54" s="1">
        <v>46118</v>
      </c>
      <c r="E54" s="2">
        <v>0.70833333333333337</v>
      </c>
      <c r="F54" t="s">
        <v>212</v>
      </c>
      <c r="G54" t="s">
        <v>213</v>
      </c>
      <c r="H54">
        <v>1</v>
      </c>
      <c r="I54">
        <v>1</v>
      </c>
      <c r="J54" t="str">
        <f t="shared" si="1"/>
        <v>D</v>
      </c>
      <c r="N54">
        <v>1.3</v>
      </c>
      <c r="O54">
        <v>5.5</v>
      </c>
      <c r="P54">
        <v>13</v>
      </c>
      <c r="Q54">
        <v>1.24</v>
      </c>
      <c r="R54">
        <v>5.18</v>
      </c>
      <c r="S54">
        <v>9.98</v>
      </c>
      <c r="T54">
        <v>1.29</v>
      </c>
      <c r="U54">
        <v>6.2</v>
      </c>
      <c r="V54">
        <v>14</v>
      </c>
      <c r="W54">
        <v>1.25</v>
      </c>
      <c r="X54">
        <v>5.25</v>
      </c>
      <c r="Y54">
        <v>12</v>
      </c>
    </row>
    <row r="55" spans="1:25" x14ac:dyDescent="0.25">
      <c r="A55" t="s">
        <v>210</v>
      </c>
      <c r="B55" t="s">
        <v>211</v>
      </c>
      <c r="C55">
        <v>2026</v>
      </c>
      <c r="D55" s="1">
        <v>46118</v>
      </c>
      <c r="E55" s="2">
        <v>0.70833333333333337</v>
      </c>
      <c r="F55" t="s">
        <v>216</v>
      </c>
      <c r="G55" t="s">
        <v>217</v>
      </c>
      <c r="H55">
        <v>2</v>
      </c>
      <c r="I55">
        <v>3</v>
      </c>
      <c r="J55" t="str">
        <f t="shared" si="1"/>
        <v>A</v>
      </c>
      <c r="N55">
        <v>2.4</v>
      </c>
      <c r="O55">
        <v>3.05</v>
      </c>
      <c r="P55">
        <v>3.5</v>
      </c>
      <c r="Q55">
        <v>2.2000000000000002</v>
      </c>
      <c r="R55">
        <v>2.94</v>
      </c>
      <c r="S55">
        <v>3.24</v>
      </c>
      <c r="T55">
        <v>2.36</v>
      </c>
      <c r="U55">
        <v>3.15</v>
      </c>
      <c r="V55">
        <v>3.8</v>
      </c>
      <c r="W55">
        <v>2.15</v>
      </c>
      <c r="X55">
        <v>3</v>
      </c>
      <c r="Y55">
        <v>3.5</v>
      </c>
    </row>
    <row r="56" spans="1:25" x14ac:dyDescent="0.25">
      <c r="A56" t="s">
        <v>210</v>
      </c>
      <c r="B56" t="s">
        <v>211</v>
      </c>
      <c r="C56">
        <v>2026</v>
      </c>
      <c r="D56" s="1">
        <v>46118</v>
      </c>
      <c r="E56" s="2">
        <v>0.70833333333333337</v>
      </c>
      <c r="F56" t="s">
        <v>218</v>
      </c>
      <c r="G56" t="s">
        <v>219</v>
      </c>
      <c r="H56">
        <v>2</v>
      </c>
      <c r="I56">
        <v>0</v>
      </c>
      <c r="J56" t="str">
        <f t="shared" si="1"/>
        <v>H</v>
      </c>
      <c r="N56">
        <v>3.8</v>
      </c>
      <c r="O56">
        <v>3.45</v>
      </c>
      <c r="P56">
        <v>2.0499999999999998</v>
      </c>
      <c r="Q56">
        <v>3.63</v>
      </c>
      <c r="R56">
        <v>3.31</v>
      </c>
      <c r="S56">
        <v>1.9</v>
      </c>
      <c r="T56">
        <v>4.2</v>
      </c>
      <c r="U56">
        <v>3.65</v>
      </c>
      <c r="V56">
        <v>2</v>
      </c>
      <c r="W56">
        <v>3.8</v>
      </c>
      <c r="X56">
        <v>3.25</v>
      </c>
      <c r="Y56">
        <v>1.9</v>
      </c>
    </row>
    <row r="57" spans="1:25" x14ac:dyDescent="0.25">
      <c r="A57" t="s">
        <v>210</v>
      </c>
      <c r="B57" t="s">
        <v>211</v>
      </c>
      <c r="C57">
        <v>2026</v>
      </c>
      <c r="D57" s="1">
        <v>46118</v>
      </c>
      <c r="E57" s="2">
        <v>0.70833333333333337</v>
      </c>
      <c r="F57" t="s">
        <v>220</v>
      </c>
      <c r="G57" t="s">
        <v>221</v>
      </c>
      <c r="H57">
        <v>3</v>
      </c>
      <c r="I57">
        <v>2</v>
      </c>
      <c r="J57" t="str">
        <f t="shared" si="1"/>
        <v>H</v>
      </c>
      <c r="N57">
        <v>1.89</v>
      </c>
      <c r="O57">
        <v>3.35</v>
      </c>
      <c r="P57">
        <v>4.4000000000000004</v>
      </c>
      <c r="Q57">
        <v>1.82</v>
      </c>
      <c r="R57">
        <v>3.21</v>
      </c>
      <c r="S57">
        <v>4.07</v>
      </c>
      <c r="T57">
        <v>1.96</v>
      </c>
      <c r="U57">
        <v>3.45</v>
      </c>
      <c r="V57">
        <v>4.7</v>
      </c>
      <c r="W57">
        <v>1.75</v>
      </c>
      <c r="X57">
        <v>3.3</v>
      </c>
      <c r="Y57">
        <v>4.33</v>
      </c>
    </row>
    <row r="58" spans="1:25" x14ac:dyDescent="0.25">
      <c r="A58" t="s">
        <v>210</v>
      </c>
      <c r="B58" t="s">
        <v>211</v>
      </c>
      <c r="C58">
        <v>2026</v>
      </c>
      <c r="D58" s="1">
        <v>46118</v>
      </c>
      <c r="E58" s="2">
        <v>0.70833333333333337</v>
      </c>
      <c r="F58" t="s">
        <v>214</v>
      </c>
      <c r="G58" t="s">
        <v>215</v>
      </c>
      <c r="H58">
        <v>0</v>
      </c>
      <c r="I58">
        <v>0</v>
      </c>
      <c r="J58" t="str">
        <f t="shared" si="1"/>
        <v>D</v>
      </c>
      <c r="N58">
        <v>4.0999999999999996</v>
      </c>
      <c r="O58">
        <v>3.3</v>
      </c>
      <c r="P58">
        <v>2</v>
      </c>
      <c r="Q58">
        <v>3.7</v>
      </c>
      <c r="R58">
        <v>3.18</v>
      </c>
      <c r="S58">
        <v>1.92</v>
      </c>
      <c r="T58">
        <v>4.2</v>
      </c>
      <c r="U58">
        <v>3.35</v>
      </c>
      <c r="V58">
        <v>2.08</v>
      </c>
      <c r="W58">
        <v>3.6</v>
      </c>
      <c r="X58">
        <v>3</v>
      </c>
      <c r="Y58">
        <v>1.95</v>
      </c>
    </row>
    <row r="59" spans="1:25" x14ac:dyDescent="0.25">
      <c r="A59" t="s">
        <v>190</v>
      </c>
      <c r="B59" t="s">
        <v>191</v>
      </c>
      <c r="C59" t="s">
        <v>85</v>
      </c>
      <c r="D59" s="1">
        <v>46116</v>
      </c>
      <c r="E59" s="2">
        <v>8.3333333333333329E-2</v>
      </c>
      <c r="F59" t="s">
        <v>208</v>
      </c>
      <c r="G59" t="s">
        <v>209</v>
      </c>
      <c r="H59">
        <v>1</v>
      </c>
      <c r="I59">
        <v>1</v>
      </c>
      <c r="J59" t="str">
        <f t="shared" si="1"/>
        <v>D</v>
      </c>
      <c r="N59">
        <v>2.65</v>
      </c>
      <c r="O59">
        <v>3.6</v>
      </c>
      <c r="P59">
        <v>2.71</v>
      </c>
      <c r="Q59">
        <v>2.46</v>
      </c>
      <c r="R59">
        <v>3.35</v>
      </c>
      <c r="S59">
        <v>2.59</v>
      </c>
      <c r="T59">
        <v>2.6</v>
      </c>
      <c r="U59">
        <v>3.65</v>
      </c>
      <c r="V59">
        <v>2.82</v>
      </c>
      <c r="W59">
        <v>2.4500000000000002</v>
      </c>
      <c r="X59">
        <v>3.5</v>
      </c>
      <c r="Y59">
        <v>2.65</v>
      </c>
    </row>
    <row r="60" spans="1:25" x14ac:dyDescent="0.25">
      <c r="A60" t="s">
        <v>190</v>
      </c>
      <c r="B60" t="s">
        <v>191</v>
      </c>
      <c r="C60" t="s">
        <v>85</v>
      </c>
      <c r="D60" s="1">
        <v>46116</v>
      </c>
      <c r="E60" s="2">
        <v>0.16666666666666666</v>
      </c>
      <c r="F60" t="s">
        <v>206</v>
      </c>
      <c r="G60" t="s">
        <v>207</v>
      </c>
      <c r="H60">
        <v>2</v>
      </c>
      <c r="I60">
        <v>1</v>
      </c>
      <c r="J60" t="str">
        <f t="shared" si="1"/>
        <v>H</v>
      </c>
      <c r="N60">
        <v>1.58</v>
      </c>
      <c r="O60">
        <v>4.5</v>
      </c>
      <c r="P60">
        <v>5.5</v>
      </c>
      <c r="Q60">
        <v>1.54</v>
      </c>
      <c r="R60">
        <v>4.0999999999999996</v>
      </c>
      <c r="S60">
        <v>5.05</v>
      </c>
      <c r="T60">
        <v>1.58</v>
      </c>
      <c r="U60">
        <v>4.7</v>
      </c>
      <c r="V60">
        <v>5.9</v>
      </c>
      <c r="W60">
        <v>1.56</v>
      </c>
      <c r="X60">
        <v>4.2</v>
      </c>
      <c r="Y60">
        <v>5.5</v>
      </c>
    </row>
    <row r="61" spans="1:25" x14ac:dyDescent="0.25">
      <c r="A61" t="s">
        <v>190</v>
      </c>
      <c r="B61" t="s">
        <v>191</v>
      </c>
      <c r="C61" t="s">
        <v>85</v>
      </c>
      <c r="D61" s="1">
        <v>46116</v>
      </c>
      <c r="E61" s="2">
        <v>0.17083333333333334</v>
      </c>
      <c r="F61" t="s">
        <v>204</v>
      </c>
      <c r="G61" t="s">
        <v>205</v>
      </c>
      <c r="H61">
        <v>1</v>
      </c>
      <c r="I61">
        <v>0</v>
      </c>
      <c r="J61" t="str">
        <f t="shared" si="1"/>
        <v>H</v>
      </c>
      <c r="N61">
        <v>4.5</v>
      </c>
      <c r="O61">
        <v>3.75</v>
      </c>
      <c r="P61">
        <v>1.84</v>
      </c>
      <c r="Q61">
        <v>4.0599999999999996</v>
      </c>
      <c r="R61">
        <v>3.52</v>
      </c>
      <c r="S61">
        <v>1.78</v>
      </c>
      <c r="T61">
        <v>4.7</v>
      </c>
      <c r="U61">
        <v>3.75</v>
      </c>
      <c r="V61">
        <v>1.88</v>
      </c>
      <c r="W61">
        <v>4.5</v>
      </c>
      <c r="X61">
        <v>3.6</v>
      </c>
      <c r="Y61">
        <v>1.76</v>
      </c>
    </row>
    <row r="62" spans="1:25" x14ac:dyDescent="0.25">
      <c r="A62" t="s">
        <v>190</v>
      </c>
      <c r="B62" t="s">
        <v>191</v>
      </c>
      <c r="C62" t="s">
        <v>85</v>
      </c>
      <c r="D62" s="1">
        <v>46117</v>
      </c>
      <c r="E62" s="2">
        <v>0</v>
      </c>
      <c r="F62" t="s">
        <v>200</v>
      </c>
      <c r="G62" t="s">
        <v>201</v>
      </c>
      <c r="H62">
        <v>1</v>
      </c>
      <c r="I62">
        <v>2</v>
      </c>
      <c r="J62" t="str">
        <f t="shared" si="1"/>
        <v>A</v>
      </c>
      <c r="N62">
        <v>1.54</v>
      </c>
      <c r="O62">
        <v>4.4000000000000004</v>
      </c>
      <c r="P62">
        <v>6</v>
      </c>
      <c r="Q62">
        <v>1.5</v>
      </c>
      <c r="R62">
        <v>4.22</v>
      </c>
      <c r="S62">
        <v>5.35</v>
      </c>
      <c r="T62">
        <v>1.57</v>
      </c>
      <c r="U62">
        <v>4.8</v>
      </c>
      <c r="V62">
        <v>6</v>
      </c>
      <c r="W62">
        <v>1.53</v>
      </c>
      <c r="X62">
        <v>4.33</v>
      </c>
      <c r="Y62">
        <v>5.25</v>
      </c>
    </row>
    <row r="63" spans="1:25" x14ac:dyDescent="0.25">
      <c r="A63" t="s">
        <v>190</v>
      </c>
      <c r="B63" t="s">
        <v>191</v>
      </c>
      <c r="C63" t="s">
        <v>85</v>
      </c>
      <c r="D63" s="1">
        <v>46117</v>
      </c>
      <c r="E63" s="2">
        <v>0</v>
      </c>
      <c r="F63" t="s">
        <v>202</v>
      </c>
      <c r="G63" t="s">
        <v>203</v>
      </c>
      <c r="H63">
        <v>1</v>
      </c>
      <c r="I63">
        <v>0</v>
      </c>
      <c r="J63" t="str">
        <f t="shared" si="1"/>
        <v>H</v>
      </c>
      <c r="N63">
        <v>6</v>
      </c>
      <c r="O63">
        <v>4.4000000000000004</v>
      </c>
      <c r="P63">
        <v>1.57</v>
      </c>
      <c r="Q63">
        <v>5.35</v>
      </c>
      <c r="R63">
        <v>4.13</v>
      </c>
      <c r="S63">
        <v>1.51</v>
      </c>
      <c r="T63">
        <v>6</v>
      </c>
      <c r="U63">
        <v>4.5</v>
      </c>
      <c r="V63">
        <v>1.6</v>
      </c>
      <c r="W63">
        <v>5.5</v>
      </c>
      <c r="X63">
        <v>4.33</v>
      </c>
      <c r="Y63">
        <v>1.51</v>
      </c>
    </row>
    <row r="64" spans="1:25" x14ac:dyDescent="0.25">
      <c r="A64" t="s">
        <v>190</v>
      </c>
      <c r="B64" t="s">
        <v>191</v>
      </c>
      <c r="C64" t="s">
        <v>85</v>
      </c>
      <c r="D64" s="1">
        <v>46117</v>
      </c>
      <c r="E64" s="2">
        <v>8.6805555555555552E-2</v>
      </c>
      <c r="F64" t="s">
        <v>198</v>
      </c>
      <c r="G64" t="s">
        <v>199</v>
      </c>
      <c r="H64">
        <v>1</v>
      </c>
      <c r="I64">
        <v>2</v>
      </c>
      <c r="J64" t="str">
        <f t="shared" si="1"/>
        <v>A</v>
      </c>
      <c r="N64">
        <v>2.25</v>
      </c>
      <c r="O64">
        <v>3.75</v>
      </c>
      <c r="P64">
        <v>3.2</v>
      </c>
      <c r="Q64">
        <v>2.16</v>
      </c>
      <c r="R64">
        <v>3.43</v>
      </c>
      <c r="S64">
        <v>2.97</v>
      </c>
      <c r="T64">
        <v>2.3199999999999998</v>
      </c>
      <c r="U64">
        <v>3.6</v>
      </c>
      <c r="V64">
        <v>3.3</v>
      </c>
      <c r="W64">
        <v>2.25</v>
      </c>
      <c r="X64">
        <v>3.6</v>
      </c>
      <c r="Y64">
        <v>2.85</v>
      </c>
    </row>
    <row r="65" spans="1:25" x14ac:dyDescent="0.25">
      <c r="A65" t="s">
        <v>190</v>
      </c>
      <c r="B65" t="s">
        <v>191</v>
      </c>
      <c r="C65" t="s">
        <v>85</v>
      </c>
      <c r="D65" s="1">
        <v>46117</v>
      </c>
      <c r="E65" s="2">
        <v>8.7499999999999994E-2</v>
      </c>
      <c r="F65" t="s">
        <v>196</v>
      </c>
      <c r="G65" t="s">
        <v>197</v>
      </c>
      <c r="H65">
        <v>2</v>
      </c>
      <c r="I65">
        <v>0</v>
      </c>
      <c r="J65" t="str">
        <f t="shared" si="1"/>
        <v>H</v>
      </c>
      <c r="N65">
        <v>2.25</v>
      </c>
      <c r="O65">
        <v>3.5</v>
      </c>
      <c r="P65">
        <v>3.4</v>
      </c>
      <c r="Q65">
        <v>2.14</v>
      </c>
      <c r="R65">
        <v>3.31</v>
      </c>
      <c r="S65">
        <v>3.12</v>
      </c>
      <c r="T65">
        <v>2.2200000000000002</v>
      </c>
      <c r="U65">
        <v>3.65</v>
      </c>
      <c r="V65">
        <v>3.5</v>
      </c>
      <c r="W65">
        <v>2.1</v>
      </c>
      <c r="X65">
        <v>3.5</v>
      </c>
      <c r="Y65">
        <v>3.4</v>
      </c>
    </row>
    <row r="66" spans="1:25" x14ac:dyDescent="0.25">
      <c r="A66" t="s">
        <v>190</v>
      </c>
      <c r="B66" t="s">
        <v>191</v>
      </c>
      <c r="C66" t="s">
        <v>85</v>
      </c>
      <c r="D66" s="1">
        <v>46117</v>
      </c>
      <c r="E66" s="2">
        <v>0.1736111111111111</v>
      </c>
      <c r="F66" t="s">
        <v>194</v>
      </c>
      <c r="G66" t="s">
        <v>195</v>
      </c>
      <c r="H66">
        <v>1</v>
      </c>
      <c r="I66">
        <v>1</v>
      </c>
      <c r="J66" t="str">
        <f t="shared" ref="J66:J93" si="2">IF(H66&gt;I66,"H",IF(H66=I66,"D","A"))</f>
        <v>D</v>
      </c>
      <c r="N66">
        <v>5.0999999999999996</v>
      </c>
      <c r="O66">
        <v>4.0999999999999996</v>
      </c>
      <c r="P66">
        <v>1.7</v>
      </c>
      <c r="Q66">
        <v>4.62</v>
      </c>
      <c r="R66">
        <v>3.88</v>
      </c>
      <c r="S66">
        <v>1.62</v>
      </c>
      <c r="T66">
        <v>5.2</v>
      </c>
      <c r="U66">
        <v>4.3</v>
      </c>
      <c r="V66">
        <v>1.7</v>
      </c>
      <c r="W66">
        <v>4.75</v>
      </c>
      <c r="X66">
        <v>4</v>
      </c>
      <c r="Y66">
        <v>1.66</v>
      </c>
    </row>
    <row r="67" spans="1:25" x14ac:dyDescent="0.25">
      <c r="A67" t="s">
        <v>190</v>
      </c>
      <c r="B67" t="s">
        <v>191</v>
      </c>
      <c r="C67" t="s">
        <v>85</v>
      </c>
      <c r="D67" s="1">
        <v>46118</v>
      </c>
      <c r="E67" s="2">
        <v>0.12986111111111112</v>
      </c>
      <c r="F67" t="s">
        <v>192</v>
      </c>
      <c r="G67" t="s">
        <v>193</v>
      </c>
      <c r="H67">
        <v>2</v>
      </c>
      <c r="I67">
        <v>2</v>
      </c>
      <c r="J67" t="str">
        <f t="shared" si="2"/>
        <v>D</v>
      </c>
      <c r="N67">
        <v>1.52</v>
      </c>
      <c r="O67">
        <v>4.5</v>
      </c>
      <c r="P67">
        <v>6.25</v>
      </c>
      <c r="Q67">
        <v>1.47</v>
      </c>
      <c r="R67">
        <v>4.32</v>
      </c>
      <c r="S67">
        <v>5.53</v>
      </c>
      <c r="T67">
        <v>1.54</v>
      </c>
      <c r="U67">
        <v>4.9000000000000004</v>
      </c>
      <c r="V67">
        <v>6.4</v>
      </c>
      <c r="W67">
        <v>1.46</v>
      </c>
      <c r="X67">
        <v>4.5</v>
      </c>
      <c r="Y67">
        <v>5.75</v>
      </c>
    </row>
    <row r="68" spans="1:25" x14ac:dyDescent="0.25">
      <c r="A68" t="s">
        <v>190</v>
      </c>
      <c r="B68" t="s">
        <v>191</v>
      </c>
      <c r="C68" t="s">
        <v>85</v>
      </c>
      <c r="D68" s="1">
        <v>46120</v>
      </c>
      <c r="E68" s="2">
        <v>4.1666666666666664E-2</v>
      </c>
      <c r="F68" t="s">
        <v>202</v>
      </c>
      <c r="G68" t="s">
        <v>209</v>
      </c>
      <c r="H68">
        <v>1</v>
      </c>
      <c r="I68">
        <v>1</v>
      </c>
      <c r="J68" t="str">
        <f t="shared" si="2"/>
        <v>D</v>
      </c>
      <c r="N68">
        <v>2.85</v>
      </c>
      <c r="O68">
        <v>3.4</v>
      </c>
      <c r="P68">
        <v>2.54</v>
      </c>
      <c r="Q68">
        <v>2.69</v>
      </c>
      <c r="R68">
        <v>3.26</v>
      </c>
      <c r="S68">
        <v>2.41</v>
      </c>
      <c r="T68">
        <v>2.92</v>
      </c>
      <c r="U68">
        <v>3.45</v>
      </c>
      <c r="V68">
        <v>2.62</v>
      </c>
      <c r="W68">
        <v>2.75</v>
      </c>
      <c r="X68">
        <v>3.4</v>
      </c>
      <c r="Y68">
        <v>2.4500000000000002</v>
      </c>
    </row>
    <row r="69" spans="1:25" x14ac:dyDescent="0.25">
      <c r="A69" t="s">
        <v>172</v>
      </c>
      <c r="B69" t="s">
        <v>173</v>
      </c>
      <c r="C69">
        <v>2026</v>
      </c>
      <c r="D69" s="1">
        <v>46118</v>
      </c>
      <c r="E69" s="2">
        <v>0.5625</v>
      </c>
      <c r="F69" t="s">
        <v>184</v>
      </c>
      <c r="G69" t="s">
        <v>185</v>
      </c>
      <c r="H69">
        <v>0</v>
      </c>
      <c r="I69">
        <v>1</v>
      </c>
      <c r="J69" t="str">
        <f t="shared" si="2"/>
        <v>A</v>
      </c>
      <c r="N69">
        <v>2.95</v>
      </c>
      <c r="O69">
        <v>3.9</v>
      </c>
      <c r="P69">
        <v>2.2000000000000002</v>
      </c>
      <c r="Q69">
        <v>2.83</v>
      </c>
      <c r="R69">
        <v>3.68</v>
      </c>
      <c r="S69">
        <v>2.15</v>
      </c>
      <c r="T69">
        <v>3.1</v>
      </c>
      <c r="U69">
        <v>4</v>
      </c>
      <c r="V69">
        <v>2.2799999999999998</v>
      </c>
      <c r="W69">
        <v>2.88</v>
      </c>
      <c r="X69">
        <v>3.9</v>
      </c>
      <c r="Y69">
        <v>2.2000000000000002</v>
      </c>
    </row>
    <row r="70" spans="1:25" x14ac:dyDescent="0.25">
      <c r="A70" t="s">
        <v>172</v>
      </c>
      <c r="B70" t="s">
        <v>173</v>
      </c>
      <c r="C70">
        <v>2026</v>
      </c>
      <c r="D70" s="1">
        <v>46118</v>
      </c>
      <c r="E70" s="2">
        <v>0.66666666666666663</v>
      </c>
      <c r="F70" t="s">
        <v>178</v>
      </c>
      <c r="G70" t="s">
        <v>179</v>
      </c>
      <c r="H70">
        <v>1</v>
      </c>
      <c r="I70">
        <v>5</v>
      </c>
      <c r="J70" t="str">
        <f t="shared" si="2"/>
        <v>A</v>
      </c>
      <c r="N70">
        <v>4.2</v>
      </c>
      <c r="O70">
        <v>3.85</v>
      </c>
      <c r="P70">
        <v>1.98</v>
      </c>
      <c r="Q70">
        <v>3.87</v>
      </c>
      <c r="R70">
        <v>3.66</v>
      </c>
      <c r="S70">
        <v>1.8</v>
      </c>
      <c r="T70">
        <v>4.4000000000000004</v>
      </c>
      <c r="U70">
        <v>4.0999999999999996</v>
      </c>
      <c r="V70">
        <v>1.88</v>
      </c>
      <c r="W70">
        <v>4.2</v>
      </c>
      <c r="X70">
        <v>3.8</v>
      </c>
      <c r="Y70">
        <v>1.8</v>
      </c>
    </row>
    <row r="71" spans="1:25" x14ac:dyDescent="0.25">
      <c r="A71" t="s">
        <v>172</v>
      </c>
      <c r="B71" t="s">
        <v>173</v>
      </c>
      <c r="C71">
        <v>2026</v>
      </c>
      <c r="D71" s="1">
        <v>46118</v>
      </c>
      <c r="E71" s="2">
        <v>0.66666666666666663</v>
      </c>
      <c r="F71" t="s">
        <v>176</v>
      </c>
      <c r="G71" t="s">
        <v>177</v>
      </c>
      <c r="H71">
        <v>0</v>
      </c>
      <c r="I71">
        <v>3</v>
      </c>
      <c r="J71" t="str">
        <f t="shared" si="2"/>
        <v>A</v>
      </c>
      <c r="N71">
        <v>11</v>
      </c>
      <c r="O71">
        <v>7.25</v>
      </c>
      <c r="P71">
        <v>1.24</v>
      </c>
      <c r="Q71">
        <v>9.7799999999999994</v>
      </c>
      <c r="R71">
        <v>6.59</v>
      </c>
      <c r="S71">
        <v>1.2</v>
      </c>
      <c r="T71">
        <v>14</v>
      </c>
      <c r="U71">
        <v>8.4</v>
      </c>
      <c r="V71">
        <v>1.23</v>
      </c>
      <c r="W71">
        <v>11</v>
      </c>
      <c r="X71">
        <v>7</v>
      </c>
      <c r="Y71">
        <v>1.22</v>
      </c>
    </row>
    <row r="72" spans="1:25" x14ac:dyDescent="0.25">
      <c r="A72" t="s">
        <v>172</v>
      </c>
      <c r="B72" t="s">
        <v>173</v>
      </c>
      <c r="C72">
        <v>2026</v>
      </c>
      <c r="D72" s="1">
        <v>46118</v>
      </c>
      <c r="E72" s="2">
        <v>0.66666666666666663</v>
      </c>
      <c r="F72" t="s">
        <v>180</v>
      </c>
      <c r="G72" t="s">
        <v>181</v>
      </c>
      <c r="H72">
        <v>0</v>
      </c>
      <c r="I72">
        <v>1</v>
      </c>
      <c r="J72" t="str">
        <f t="shared" si="2"/>
        <v>A</v>
      </c>
      <c r="N72">
        <v>2.2000000000000002</v>
      </c>
      <c r="O72">
        <v>3.8</v>
      </c>
      <c r="P72">
        <v>3.1</v>
      </c>
      <c r="Q72">
        <v>2.11</v>
      </c>
      <c r="R72">
        <v>3.7</v>
      </c>
      <c r="S72">
        <v>2.89</v>
      </c>
      <c r="T72">
        <v>2.2400000000000002</v>
      </c>
      <c r="U72">
        <v>4.0999999999999996</v>
      </c>
      <c r="V72">
        <v>3.1</v>
      </c>
      <c r="W72">
        <v>2.2000000000000002</v>
      </c>
      <c r="X72">
        <v>3.75</v>
      </c>
      <c r="Y72">
        <v>2.9</v>
      </c>
    </row>
    <row r="73" spans="1:25" x14ac:dyDescent="0.25">
      <c r="A73" t="s">
        <v>172</v>
      </c>
      <c r="B73" t="s">
        <v>173</v>
      </c>
      <c r="C73">
        <v>2026</v>
      </c>
      <c r="D73" s="1">
        <v>46118</v>
      </c>
      <c r="E73" s="2">
        <v>0.66666666666666663</v>
      </c>
      <c r="F73" t="s">
        <v>182</v>
      </c>
      <c r="G73" t="s">
        <v>183</v>
      </c>
      <c r="H73">
        <v>1</v>
      </c>
      <c r="I73">
        <v>1</v>
      </c>
      <c r="J73" t="str">
        <f t="shared" si="2"/>
        <v>D</v>
      </c>
      <c r="N73">
        <v>1.8</v>
      </c>
      <c r="O73">
        <v>4</v>
      </c>
      <c r="P73">
        <v>4.3499999999999996</v>
      </c>
      <c r="Q73">
        <v>1.74</v>
      </c>
      <c r="R73">
        <v>3.78</v>
      </c>
      <c r="S73">
        <v>3.97</v>
      </c>
      <c r="T73">
        <v>1.86</v>
      </c>
      <c r="U73">
        <v>4.0999999999999996</v>
      </c>
      <c r="V73">
        <v>4.3</v>
      </c>
      <c r="W73">
        <v>1.8</v>
      </c>
      <c r="X73">
        <v>4</v>
      </c>
      <c r="Y73">
        <v>4</v>
      </c>
    </row>
    <row r="74" spans="1:25" x14ac:dyDescent="0.25">
      <c r="A74" t="s">
        <v>172</v>
      </c>
      <c r="B74" t="s">
        <v>173</v>
      </c>
      <c r="C74">
        <v>2026</v>
      </c>
      <c r="D74" s="1">
        <v>46118</v>
      </c>
      <c r="E74" s="2">
        <v>0.76041666666666663</v>
      </c>
      <c r="F74" t="s">
        <v>174</v>
      </c>
      <c r="G74" t="s">
        <v>175</v>
      </c>
      <c r="H74">
        <v>2</v>
      </c>
      <c r="I74">
        <v>0</v>
      </c>
      <c r="J74" t="str">
        <f t="shared" si="2"/>
        <v>H</v>
      </c>
      <c r="N74">
        <v>1.62</v>
      </c>
      <c r="O74">
        <v>4</v>
      </c>
      <c r="P74">
        <v>6</v>
      </c>
      <c r="Q74">
        <v>1.55</v>
      </c>
      <c r="R74">
        <v>3.83</v>
      </c>
      <c r="S74">
        <v>5.41</v>
      </c>
      <c r="T74">
        <v>1.66</v>
      </c>
      <c r="U74">
        <v>4.0999999999999996</v>
      </c>
      <c r="V74">
        <v>6</v>
      </c>
      <c r="W74">
        <v>1.6</v>
      </c>
      <c r="X74">
        <v>3.9</v>
      </c>
      <c r="Y74">
        <v>5.5</v>
      </c>
    </row>
    <row r="75" spans="1:25" x14ac:dyDescent="0.25">
      <c r="A75" t="s">
        <v>172</v>
      </c>
      <c r="B75" t="s">
        <v>173</v>
      </c>
      <c r="C75">
        <v>2026</v>
      </c>
      <c r="D75" s="1">
        <v>46119</v>
      </c>
      <c r="E75" s="2">
        <v>0.75</v>
      </c>
      <c r="F75" t="s">
        <v>188</v>
      </c>
      <c r="G75" t="s">
        <v>189</v>
      </c>
      <c r="H75">
        <v>2</v>
      </c>
      <c r="I75">
        <v>3</v>
      </c>
      <c r="J75" t="str">
        <f t="shared" si="2"/>
        <v>A</v>
      </c>
      <c r="N75">
        <v>2.4300000000000002</v>
      </c>
      <c r="O75">
        <v>3.75</v>
      </c>
      <c r="P75">
        <v>2.85</v>
      </c>
      <c r="Q75">
        <v>2.35</v>
      </c>
      <c r="R75">
        <v>3.49</v>
      </c>
      <c r="S75">
        <v>2.69</v>
      </c>
      <c r="T75">
        <v>2.5</v>
      </c>
      <c r="U75">
        <v>3.8</v>
      </c>
      <c r="V75">
        <v>2.9</v>
      </c>
      <c r="W75">
        <v>2.2999999999999998</v>
      </c>
      <c r="X75">
        <v>3.75</v>
      </c>
      <c r="Y75">
        <v>2.75</v>
      </c>
    </row>
    <row r="76" spans="1:25" x14ac:dyDescent="0.25">
      <c r="A76" t="s">
        <v>172</v>
      </c>
      <c r="B76" t="s">
        <v>173</v>
      </c>
      <c r="C76">
        <v>2026</v>
      </c>
      <c r="D76" s="1">
        <v>46119</v>
      </c>
      <c r="E76" s="2">
        <v>0.75</v>
      </c>
      <c r="F76" t="s">
        <v>186</v>
      </c>
      <c r="G76" t="s">
        <v>187</v>
      </c>
      <c r="H76">
        <v>1</v>
      </c>
      <c r="I76">
        <v>2</v>
      </c>
      <c r="J76" t="str">
        <f t="shared" si="2"/>
        <v>A</v>
      </c>
      <c r="N76">
        <v>2.25</v>
      </c>
      <c r="O76">
        <v>3.5</v>
      </c>
      <c r="P76">
        <v>3.25</v>
      </c>
      <c r="Q76">
        <v>2.16</v>
      </c>
      <c r="R76">
        <v>3.42</v>
      </c>
      <c r="S76">
        <v>3.04</v>
      </c>
      <c r="T76">
        <v>2.3199999999999998</v>
      </c>
      <c r="U76">
        <v>3.6</v>
      </c>
      <c r="V76">
        <v>3.3</v>
      </c>
      <c r="W76">
        <v>2.2000000000000002</v>
      </c>
      <c r="X76">
        <v>3.5</v>
      </c>
      <c r="Y76">
        <v>3.1</v>
      </c>
    </row>
    <row r="77" spans="1:25" x14ac:dyDescent="0.25">
      <c r="A77" t="s">
        <v>152</v>
      </c>
      <c r="B77" t="s">
        <v>153</v>
      </c>
      <c r="C77" t="s">
        <v>85</v>
      </c>
      <c r="D77" s="1">
        <v>46116</v>
      </c>
      <c r="E77" s="2">
        <v>0.46875</v>
      </c>
      <c r="F77" t="s">
        <v>168</v>
      </c>
      <c r="G77" t="s">
        <v>169</v>
      </c>
      <c r="H77">
        <v>1</v>
      </c>
      <c r="I77">
        <v>0</v>
      </c>
      <c r="J77" t="str">
        <f t="shared" si="2"/>
        <v>H</v>
      </c>
      <c r="N77">
        <v>1.92</v>
      </c>
      <c r="O77">
        <v>3.6</v>
      </c>
      <c r="P77">
        <v>4</v>
      </c>
      <c r="Q77">
        <v>1.84</v>
      </c>
      <c r="R77">
        <v>3.43</v>
      </c>
      <c r="S77">
        <v>3.83</v>
      </c>
      <c r="T77">
        <v>1.92</v>
      </c>
      <c r="U77">
        <v>3.75</v>
      </c>
      <c r="V77">
        <v>4.4000000000000004</v>
      </c>
      <c r="W77">
        <v>1.8</v>
      </c>
      <c r="X77">
        <v>3.5</v>
      </c>
      <c r="Y77">
        <v>3.9</v>
      </c>
    </row>
    <row r="78" spans="1:25" x14ac:dyDescent="0.25">
      <c r="A78" t="s">
        <v>152</v>
      </c>
      <c r="B78" t="s">
        <v>153</v>
      </c>
      <c r="C78" t="s">
        <v>85</v>
      </c>
      <c r="D78" s="1">
        <v>46116</v>
      </c>
      <c r="E78" s="2">
        <v>0.57291666666666663</v>
      </c>
      <c r="F78" t="s">
        <v>166</v>
      </c>
      <c r="G78" t="s">
        <v>167</v>
      </c>
      <c r="H78">
        <v>1</v>
      </c>
      <c r="I78">
        <v>1</v>
      </c>
      <c r="J78" t="str">
        <f t="shared" si="2"/>
        <v>D</v>
      </c>
      <c r="N78">
        <v>2.12</v>
      </c>
      <c r="O78">
        <v>3.3</v>
      </c>
      <c r="P78">
        <v>3.6</v>
      </c>
      <c r="Q78">
        <v>2.0299999999999998</v>
      </c>
      <c r="R78">
        <v>3.19</v>
      </c>
      <c r="S78">
        <v>3.48</v>
      </c>
      <c r="T78">
        <v>2.16</v>
      </c>
      <c r="U78">
        <v>3.4</v>
      </c>
      <c r="V78">
        <v>3.9</v>
      </c>
      <c r="W78">
        <v>2.0499999999999998</v>
      </c>
      <c r="X78">
        <v>3.1</v>
      </c>
      <c r="Y78">
        <v>3.5</v>
      </c>
    </row>
    <row r="79" spans="1:25" x14ac:dyDescent="0.25">
      <c r="A79" t="s">
        <v>152</v>
      </c>
      <c r="B79" t="s">
        <v>153</v>
      </c>
      <c r="C79" t="s">
        <v>85</v>
      </c>
      <c r="D79" s="1">
        <v>46116</v>
      </c>
      <c r="E79" s="2">
        <v>0.6875</v>
      </c>
      <c r="F79" t="s">
        <v>164</v>
      </c>
      <c r="G79" t="s">
        <v>165</v>
      </c>
      <c r="H79">
        <v>3</v>
      </c>
      <c r="I79">
        <v>0</v>
      </c>
      <c r="J79" t="str">
        <f t="shared" si="2"/>
        <v>H</v>
      </c>
      <c r="N79">
        <v>1.93</v>
      </c>
      <c r="O79">
        <v>3.35</v>
      </c>
      <c r="P79">
        <v>4.75</v>
      </c>
      <c r="Q79">
        <v>1.84</v>
      </c>
      <c r="R79">
        <v>3.23</v>
      </c>
      <c r="S79">
        <v>4.17</v>
      </c>
      <c r="T79">
        <v>1.88</v>
      </c>
      <c r="U79">
        <v>3.55</v>
      </c>
      <c r="V79">
        <v>5</v>
      </c>
      <c r="W79">
        <v>1.75</v>
      </c>
      <c r="X79">
        <v>3.25</v>
      </c>
      <c r="Y79">
        <v>4.75</v>
      </c>
    </row>
    <row r="80" spans="1:25" x14ac:dyDescent="0.25">
      <c r="A80" t="s">
        <v>152</v>
      </c>
      <c r="B80" t="s">
        <v>153</v>
      </c>
      <c r="C80" t="s">
        <v>85</v>
      </c>
      <c r="D80" s="1">
        <v>46116</v>
      </c>
      <c r="E80" s="2">
        <v>0.80208333333333337</v>
      </c>
      <c r="F80" t="s">
        <v>162</v>
      </c>
      <c r="G80" t="s">
        <v>163</v>
      </c>
      <c r="H80">
        <v>0</v>
      </c>
      <c r="I80">
        <v>0</v>
      </c>
      <c r="J80" t="str">
        <f t="shared" si="2"/>
        <v>D</v>
      </c>
      <c r="N80">
        <v>2.66</v>
      </c>
      <c r="O80">
        <v>3.75</v>
      </c>
      <c r="P80">
        <v>2.5499999999999998</v>
      </c>
      <c r="Q80">
        <v>2.5299999999999998</v>
      </c>
      <c r="R80">
        <v>3.56</v>
      </c>
      <c r="S80">
        <v>2.39</v>
      </c>
      <c r="T80">
        <v>2.78</v>
      </c>
      <c r="U80">
        <v>3.85</v>
      </c>
      <c r="V80">
        <v>2.56</v>
      </c>
      <c r="W80">
        <v>2.5</v>
      </c>
      <c r="X80">
        <v>3.6</v>
      </c>
      <c r="Y80">
        <v>2.4500000000000002</v>
      </c>
    </row>
    <row r="81" spans="1:25" x14ac:dyDescent="0.25">
      <c r="A81" t="s">
        <v>152</v>
      </c>
      <c r="B81" t="s">
        <v>153</v>
      </c>
      <c r="C81" t="s">
        <v>85</v>
      </c>
      <c r="D81" s="1">
        <v>46118</v>
      </c>
      <c r="E81" s="2">
        <v>0.46875</v>
      </c>
      <c r="F81" t="s">
        <v>160</v>
      </c>
      <c r="G81" t="s">
        <v>161</v>
      </c>
      <c r="H81">
        <v>3</v>
      </c>
      <c r="I81">
        <v>2</v>
      </c>
      <c r="J81" t="str">
        <f t="shared" si="2"/>
        <v>H</v>
      </c>
      <c r="N81">
        <v>3.25</v>
      </c>
      <c r="O81">
        <v>3.5</v>
      </c>
      <c r="P81">
        <v>2.2799999999999998</v>
      </c>
      <c r="Q81">
        <v>2.97</v>
      </c>
      <c r="R81">
        <v>3.35</v>
      </c>
      <c r="S81">
        <v>2.1800000000000002</v>
      </c>
      <c r="T81">
        <v>3.3</v>
      </c>
      <c r="U81">
        <v>3.7</v>
      </c>
      <c r="V81">
        <v>2.2799999999999998</v>
      </c>
      <c r="W81">
        <v>3</v>
      </c>
      <c r="X81">
        <v>3.5</v>
      </c>
      <c r="Y81">
        <v>2.15</v>
      </c>
    </row>
    <row r="82" spans="1:25" x14ac:dyDescent="0.25">
      <c r="A82" t="s">
        <v>152</v>
      </c>
      <c r="B82" t="s">
        <v>153</v>
      </c>
      <c r="C82" t="s">
        <v>85</v>
      </c>
      <c r="D82" s="1">
        <v>46118</v>
      </c>
      <c r="E82" s="2">
        <v>0.57291666666666663</v>
      </c>
      <c r="F82" t="s">
        <v>158</v>
      </c>
      <c r="G82" t="s">
        <v>159</v>
      </c>
      <c r="H82">
        <v>1</v>
      </c>
      <c r="I82">
        <v>1</v>
      </c>
      <c r="J82" t="str">
        <f t="shared" si="2"/>
        <v>D</v>
      </c>
      <c r="N82">
        <v>2.25</v>
      </c>
      <c r="O82">
        <v>3.6</v>
      </c>
      <c r="P82">
        <v>3.25</v>
      </c>
      <c r="Q82">
        <v>2.16</v>
      </c>
      <c r="R82">
        <v>3.48</v>
      </c>
      <c r="S82">
        <v>2.93</v>
      </c>
      <c r="T82">
        <v>2.34</v>
      </c>
      <c r="U82">
        <v>3.65</v>
      </c>
      <c r="V82">
        <v>3.25</v>
      </c>
      <c r="W82">
        <v>2.2000000000000002</v>
      </c>
      <c r="X82">
        <v>3.4</v>
      </c>
      <c r="Y82">
        <v>2.88</v>
      </c>
    </row>
    <row r="83" spans="1:25" x14ac:dyDescent="0.25">
      <c r="A83" t="s">
        <v>152</v>
      </c>
      <c r="B83" t="s">
        <v>153</v>
      </c>
      <c r="C83" t="s">
        <v>85</v>
      </c>
      <c r="D83" s="1">
        <v>46118</v>
      </c>
      <c r="E83" s="2">
        <v>0.6875</v>
      </c>
      <c r="F83" t="s">
        <v>156</v>
      </c>
      <c r="G83" t="s">
        <v>157</v>
      </c>
      <c r="H83">
        <v>0</v>
      </c>
      <c r="I83">
        <v>2</v>
      </c>
      <c r="J83" t="str">
        <f t="shared" si="2"/>
        <v>A</v>
      </c>
      <c r="N83">
        <v>2.5</v>
      </c>
      <c r="O83">
        <v>3.5</v>
      </c>
      <c r="P83">
        <v>2.71</v>
      </c>
      <c r="Q83">
        <v>2.41</v>
      </c>
      <c r="R83">
        <v>3.37</v>
      </c>
      <c r="S83">
        <v>2.61</v>
      </c>
      <c r="T83">
        <v>2.66</v>
      </c>
      <c r="U83">
        <v>3.6</v>
      </c>
      <c r="V83">
        <v>2.86</v>
      </c>
      <c r="W83">
        <v>2.4</v>
      </c>
      <c r="X83">
        <v>3.4</v>
      </c>
      <c r="Y83">
        <v>2.63</v>
      </c>
    </row>
    <row r="84" spans="1:25" x14ac:dyDescent="0.25">
      <c r="A84" t="s">
        <v>152</v>
      </c>
      <c r="B84" t="s">
        <v>153</v>
      </c>
      <c r="C84" t="s">
        <v>85</v>
      </c>
      <c r="D84" s="1">
        <v>46118</v>
      </c>
      <c r="E84" s="2">
        <v>0.80208333333333337</v>
      </c>
      <c r="F84" t="s">
        <v>154</v>
      </c>
      <c r="G84" t="s">
        <v>155</v>
      </c>
      <c r="H84">
        <v>4</v>
      </c>
      <c r="I84">
        <v>2</v>
      </c>
      <c r="J84" t="str">
        <f t="shared" si="2"/>
        <v>H</v>
      </c>
      <c r="N84">
        <v>2</v>
      </c>
      <c r="O84">
        <v>3.75</v>
      </c>
      <c r="P84">
        <v>3.6</v>
      </c>
      <c r="Q84">
        <v>1.93</v>
      </c>
      <c r="R84">
        <v>3.52</v>
      </c>
      <c r="S84">
        <v>3.42</v>
      </c>
      <c r="T84">
        <v>2.02</v>
      </c>
      <c r="U84">
        <v>3.8</v>
      </c>
      <c r="V84">
        <v>3.9</v>
      </c>
      <c r="W84">
        <v>1.85</v>
      </c>
      <c r="X84">
        <v>3.6</v>
      </c>
      <c r="Y84">
        <v>3.5</v>
      </c>
    </row>
    <row r="85" spans="1:25" x14ac:dyDescent="0.25">
      <c r="A85" t="s">
        <v>152</v>
      </c>
      <c r="B85" t="s">
        <v>153</v>
      </c>
      <c r="C85" t="s">
        <v>85</v>
      </c>
      <c r="D85" s="1">
        <v>46119</v>
      </c>
      <c r="E85" s="2">
        <v>0.75</v>
      </c>
      <c r="F85" t="s">
        <v>170</v>
      </c>
      <c r="G85" t="s">
        <v>171</v>
      </c>
      <c r="H85">
        <v>3</v>
      </c>
      <c r="I85">
        <v>1</v>
      </c>
      <c r="J85" t="str">
        <f t="shared" si="2"/>
        <v>H</v>
      </c>
      <c r="N85">
        <v>2.5</v>
      </c>
      <c r="O85">
        <v>3.15</v>
      </c>
      <c r="P85">
        <v>3.2</v>
      </c>
      <c r="Q85">
        <v>2.36</v>
      </c>
      <c r="R85">
        <v>3</v>
      </c>
      <c r="S85">
        <v>3.04</v>
      </c>
      <c r="T85">
        <v>2.56</v>
      </c>
      <c r="U85">
        <v>3.1</v>
      </c>
      <c r="V85">
        <v>3.4</v>
      </c>
      <c r="W85">
        <v>2.38</v>
      </c>
      <c r="X85">
        <v>3</v>
      </c>
      <c r="Y85">
        <v>3</v>
      </c>
    </row>
    <row r="86" spans="1:25" x14ac:dyDescent="0.25">
      <c r="A86" t="s">
        <v>134</v>
      </c>
      <c r="B86" t="s">
        <v>135</v>
      </c>
      <c r="C86" t="s">
        <v>85</v>
      </c>
      <c r="D86" s="1">
        <v>46115</v>
      </c>
      <c r="E86" s="2">
        <v>0.77083333333333337</v>
      </c>
      <c r="F86" t="s">
        <v>150</v>
      </c>
      <c r="G86" t="s">
        <v>151</v>
      </c>
      <c r="H86">
        <v>3</v>
      </c>
      <c r="I86">
        <v>2</v>
      </c>
      <c r="J86" t="str">
        <f t="shared" si="2"/>
        <v>H</v>
      </c>
      <c r="N86">
        <v>4.5999999999999996</v>
      </c>
      <c r="O86">
        <v>4</v>
      </c>
      <c r="P86">
        <v>1.72</v>
      </c>
      <c r="Q86">
        <v>4.3899999999999997</v>
      </c>
      <c r="R86">
        <v>3.76</v>
      </c>
      <c r="S86">
        <v>1.65</v>
      </c>
      <c r="T86">
        <v>4.9000000000000004</v>
      </c>
      <c r="U86">
        <v>4.0999999999999996</v>
      </c>
      <c r="V86">
        <v>1.76</v>
      </c>
      <c r="W86">
        <v>4.33</v>
      </c>
      <c r="X86">
        <v>3.7</v>
      </c>
      <c r="Y86">
        <v>1.62</v>
      </c>
    </row>
    <row r="87" spans="1:25" x14ac:dyDescent="0.25">
      <c r="A87" t="s">
        <v>134</v>
      </c>
      <c r="B87" t="s">
        <v>135</v>
      </c>
      <c r="C87" t="s">
        <v>85</v>
      </c>
      <c r="D87" s="1">
        <v>46116</v>
      </c>
      <c r="E87" s="2">
        <v>0.54166666666666663</v>
      </c>
      <c r="F87" t="s">
        <v>148</v>
      </c>
      <c r="G87" t="s">
        <v>149</v>
      </c>
      <c r="H87">
        <v>2</v>
      </c>
      <c r="I87">
        <v>0</v>
      </c>
      <c r="J87" t="str">
        <f t="shared" si="2"/>
        <v>H</v>
      </c>
      <c r="N87">
        <v>2.54</v>
      </c>
      <c r="O87">
        <v>3.25</v>
      </c>
      <c r="P87">
        <v>2.9</v>
      </c>
      <c r="Q87">
        <v>2.4</v>
      </c>
      <c r="R87">
        <v>3.03</v>
      </c>
      <c r="S87">
        <v>2.84</v>
      </c>
      <c r="T87">
        <v>2.64</v>
      </c>
      <c r="U87">
        <v>3.05</v>
      </c>
      <c r="V87">
        <v>3.25</v>
      </c>
      <c r="W87">
        <v>2.38</v>
      </c>
      <c r="X87">
        <v>3</v>
      </c>
      <c r="Y87">
        <v>2.8</v>
      </c>
    </row>
    <row r="88" spans="1:25" x14ac:dyDescent="0.25">
      <c r="A88" t="s">
        <v>134</v>
      </c>
      <c r="B88" t="s">
        <v>135</v>
      </c>
      <c r="C88" t="s">
        <v>85</v>
      </c>
      <c r="D88" s="1">
        <v>46116</v>
      </c>
      <c r="E88" s="2">
        <v>0.72916666666666663</v>
      </c>
      <c r="F88" t="s">
        <v>146</v>
      </c>
      <c r="G88" t="s">
        <v>147</v>
      </c>
      <c r="H88">
        <v>1</v>
      </c>
      <c r="I88">
        <v>1</v>
      </c>
      <c r="J88" t="str">
        <f t="shared" si="2"/>
        <v>D</v>
      </c>
      <c r="N88">
        <v>4</v>
      </c>
      <c r="O88">
        <v>3</v>
      </c>
      <c r="P88">
        <v>2.38</v>
      </c>
      <c r="Q88">
        <v>3.46</v>
      </c>
      <c r="R88">
        <v>2.92</v>
      </c>
      <c r="S88">
        <v>2.13</v>
      </c>
      <c r="T88">
        <v>2.88</v>
      </c>
      <c r="U88">
        <v>3.05</v>
      </c>
      <c r="V88">
        <v>2.2200000000000002</v>
      </c>
      <c r="W88">
        <v>3.5</v>
      </c>
      <c r="X88">
        <v>2.88</v>
      </c>
      <c r="Y88">
        <v>2.0499999999999998</v>
      </c>
    </row>
    <row r="89" spans="1:25" x14ac:dyDescent="0.25">
      <c r="A89" t="s">
        <v>134</v>
      </c>
      <c r="B89" t="s">
        <v>135</v>
      </c>
      <c r="C89" t="s">
        <v>85</v>
      </c>
      <c r="D89" s="1">
        <v>46117</v>
      </c>
      <c r="E89" s="2">
        <v>0.54166666666666663</v>
      </c>
      <c r="F89" t="s">
        <v>144</v>
      </c>
      <c r="G89" t="s">
        <v>145</v>
      </c>
      <c r="H89">
        <v>5</v>
      </c>
      <c r="I89">
        <v>1</v>
      </c>
      <c r="J89" t="str">
        <f t="shared" si="2"/>
        <v>H</v>
      </c>
      <c r="N89">
        <v>1.42</v>
      </c>
      <c r="O89">
        <v>4.75</v>
      </c>
      <c r="P89">
        <v>7.5</v>
      </c>
      <c r="Q89">
        <v>1.39</v>
      </c>
      <c r="R89">
        <v>4.2699999999999996</v>
      </c>
      <c r="S89">
        <v>6.89</v>
      </c>
      <c r="T89">
        <v>1.46</v>
      </c>
      <c r="U89">
        <v>4.9000000000000004</v>
      </c>
      <c r="V89">
        <v>7.8</v>
      </c>
      <c r="W89">
        <v>1.4</v>
      </c>
      <c r="X89">
        <v>4</v>
      </c>
      <c r="Y89">
        <v>7</v>
      </c>
    </row>
    <row r="90" spans="1:25" x14ac:dyDescent="0.25">
      <c r="A90" t="s">
        <v>134</v>
      </c>
      <c r="B90" t="s">
        <v>135</v>
      </c>
      <c r="C90" t="s">
        <v>85</v>
      </c>
      <c r="D90" s="1">
        <v>46117</v>
      </c>
      <c r="E90" s="2">
        <v>0.64583333333333337</v>
      </c>
      <c r="F90" t="s">
        <v>142</v>
      </c>
      <c r="G90" t="s">
        <v>143</v>
      </c>
      <c r="H90">
        <v>0</v>
      </c>
      <c r="I90">
        <v>1</v>
      </c>
      <c r="J90" t="str">
        <f t="shared" si="2"/>
        <v>A</v>
      </c>
      <c r="N90">
        <v>1.55</v>
      </c>
      <c r="O90">
        <v>4.4000000000000004</v>
      </c>
      <c r="P90">
        <v>6.5</v>
      </c>
      <c r="Q90">
        <v>1.49</v>
      </c>
      <c r="R90">
        <v>3.98</v>
      </c>
      <c r="S90">
        <v>5.65</v>
      </c>
      <c r="T90">
        <v>1.6</v>
      </c>
      <c r="U90">
        <v>4.3</v>
      </c>
      <c r="V90">
        <v>6.8</v>
      </c>
      <c r="W90">
        <v>1.48</v>
      </c>
      <c r="X90">
        <v>3.9</v>
      </c>
      <c r="Y90">
        <v>5.25</v>
      </c>
    </row>
    <row r="91" spans="1:25" x14ac:dyDescent="0.25">
      <c r="A91" t="s">
        <v>134</v>
      </c>
      <c r="B91" t="s">
        <v>135</v>
      </c>
      <c r="C91" t="s">
        <v>85</v>
      </c>
      <c r="D91" s="1">
        <v>46117</v>
      </c>
      <c r="E91" s="2">
        <v>0.77083333333333337</v>
      </c>
      <c r="F91" t="s">
        <v>140</v>
      </c>
      <c r="G91" t="s">
        <v>141</v>
      </c>
      <c r="H91">
        <v>1</v>
      </c>
      <c r="I91">
        <v>2</v>
      </c>
      <c r="J91" t="str">
        <f t="shared" si="2"/>
        <v>A</v>
      </c>
      <c r="N91">
        <v>2.12</v>
      </c>
      <c r="O91">
        <v>3.4</v>
      </c>
      <c r="P91">
        <v>3.6</v>
      </c>
      <c r="Q91">
        <v>1.99</v>
      </c>
      <c r="R91">
        <v>3.23</v>
      </c>
      <c r="S91">
        <v>3.47</v>
      </c>
      <c r="T91">
        <v>2.1</v>
      </c>
      <c r="U91">
        <v>3.4</v>
      </c>
      <c r="V91">
        <v>4</v>
      </c>
      <c r="W91">
        <v>1.91</v>
      </c>
      <c r="X91">
        <v>3.2</v>
      </c>
      <c r="Y91">
        <v>3.6</v>
      </c>
    </row>
    <row r="92" spans="1:25" x14ac:dyDescent="0.25">
      <c r="A92" t="s">
        <v>134</v>
      </c>
      <c r="B92" t="s">
        <v>135</v>
      </c>
      <c r="C92" t="s">
        <v>85</v>
      </c>
      <c r="D92" s="1">
        <v>46118</v>
      </c>
      <c r="E92" s="2">
        <v>0.64583333333333337</v>
      </c>
      <c r="F92" t="s">
        <v>138</v>
      </c>
      <c r="G92" t="s">
        <v>139</v>
      </c>
      <c r="H92">
        <v>2</v>
      </c>
      <c r="I92">
        <v>0</v>
      </c>
      <c r="J92" t="str">
        <f t="shared" si="2"/>
        <v>H</v>
      </c>
      <c r="N92">
        <v>1.94</v>
      </c>
      <c r="O92">
        <v>3.5</v>
      </c>
      <c r="P92">
        <v>4.33</v>
      </c>
      <c r="Q92">
        <v>1.82</v>
      </c>
      <c r="R92">
        <v>3.27</v>
      </c>
      <c r="S92">
        <v>4.0599999999999996</v>
      </c>
      <c r="T92">
        <v>1.87</v>
      </c>
      <c r="U92">
        <v>3.7</v>
      </c>
      <c r="V92">
        <v>4.9000000000000004</v>
      </c>
      <c r="W92">
        <v>1.73</v>
      </c>
      <c r="X92">
        <v>3.25</v>
      </c>
      <c r="Y92">
        <v>4.33</v>
      </c>
    </row>
    <row r="93" spans="1:25" x14ac:dyDescent="0.25">
      <c r="A93" t="s">
        <v>134</v>
      </c>
      <c r="B93" t="s">
        <v>135</v>
      </c>
      <c r="C93" t="s">
        <v>85</v>
      </c>
      <c r="D93" s="1">
        <v>46118</v>
      </c>
      <c r="E93" s="2">
        <v>0.77083333333333337</v>
      </c>
      <c r="F93" t="s">
        <v>136</v>
      </c>
      <c r="G93" t="s">
        <v>137</v>
      </c>
      <c r="H93">
        <v>2</v>
      </c>
      <c r="I93">
        <v>0</v>
      </c>
      <c r="J93" t="str">
        <f t="shared" si="2"/>
        <v>H</v>
      </c>
      <c r="N93">
        <v>1.9</v>
      </c>
      <c r="O93">
        <v>3.6</v>
      </c>
      <c r="P93">
        <v>4.4000000000000004</v>
      </c>
      <c r="Q93">
        <v>1.81</v>
      </c>
      <c r="R93">
        <v>3.3</v>
      </c>
      <c r="S93">
        <v>4.09</v>
      </c>
      <c r="T93">
        <v>1.89</v>
      </c>
      <c r="U93">
        <v>3.7</v>
      </c>
      <c r="V93">
        <v>4.8</v>
      </c>
      <c r="W93">
        <v>1.75</v>
      </c>
      <c r="X93">
        <v>3.25</v>
      </c>
      <c r="Y93">
        <v>4.2</v>
      </c>
    </row>
    <row r="94" spans="1:25" x14ac:dyDescent="0.25">
      <c r="A94" t="s">
        <v>116</v>
      </c>
      <c r="B94" t="s">
        <v>117</v>
      </c>
      <c r="C94" t="s">
        <v>85</v>
      </c>
      <c r="D94" s="1">
        <v>46116</v>
      </c>
      <c r="E94" s="2">
        <v>0.45833333333333331</v>
      </c>
      <c r="F94" t="s">
        <v>132</v>
      </c>
      <c r="G94" t="s">
        <v>133</v>
      </c>
      <c r="H94">
        <v>1</v>
      </c>
      <c r="I94">
        <v>2</v>
      </c>
      <c r="J94" t="str">
        <f t="shared" ref="J94:J101" si="3">IF(H94&gt;I94,"H",IF(H94=I94,"D","A"))</f>
        <v>A</v>
      </c>
      <c r="N94">
        <v>3.75</v>
      </c>
      <c r="O94">
        <v>3.6</v>
      </c>
      <c r="P94">
        <v>1.73</v>
      </c>
      <c r="Q94">
        <v>3.75</v>
      </c>
      <c r="R94">
        <v>3.6</v>
      </c>
      <c r="S94">
        <v>1.73</v>
      </c>
    </row>
    <row r="95" spans="1:25" x14ac:dyDescent="0.25">
      <c r="A95" t="s">
        <v>116</v>
      </c>
      <c r="B95" t="s">
        <v>117</v>
      </c>
      <c r="C95" t="s">
        <v>85</v>
      </c>
      <c r="D95" s="1">
        <v>46116</v>
      </c>
      <c r="E95" s="2">
        <v>0.55208333333333337</v>
      </c>
      <c r="F95" t="s">
        <v>130</v>
      </c>
      <c r="G95" t="s">
        <v>131</v>
      </c>
      <c r="H95">
        <v>2</v>
      </c>
      <c r="I95">
        <v>1</v>
      </c>
      <c r="J95" t="str">
        <f t="shared" si="3"/>
        <v>H</v>
      </c>
      <c r="N95">
        <v>1.22</v>
      </c>
      <c r="O95">
        <v>4.75</v>
      </c>
      <c r="P95">
        <v>11</v>
      </c>
      <c r="Q95">
        <v>1.22</v>
      </c>
      <c r="R95">
        <v>4.75</v>
      </c>
      <c r="S95">
        <v>11</v>
      </c>
    </row>
    <row r="96" spans="1:25" x14ac:dyDescent="0.25">
      <c r="A96" t="s">
        <v>116</v>
      </c>
      <c r="B96" t="s">
        <v>117</v>
      </c>
      <c r="C96" t="s">
        <v>85</v>
      </c>
      <c r="D96" s="1">
        <v>46116</v>
      </c>
      <c r="E96" s="2">
        <v>0.64583333333333337</v>
      </c>
      <c r="F96" t="s">
        <v>128</v>
      </c>
      <c r="G96" t="s">
        <v>129</v>
      </c>
      <c r="H96">
        <v>3</v>
      </c>
      <c r="I96">
        <v>3</v>
      </c>
      <c r="J96" t="str">
        <f t="shared" si="3"/>
        <v>D</v>
      </c>
      <c r="N96">
        <v>1.46</v>
      </c>
      <c r="O96">
        <v>4</v>
      </c>
      <c r="P96">
        <v>5.33</v>
      </c>
      <c r="Q96">
        <v>1.46</v>
      </c>
      <c r="R96">
        <v>4</v>
      </c>
      <c r="S96">
        <v>5.33</v>
      </c>
    </row>
    <row r="97" spans="1:25" x14ac:dyDescent="0.25">
      <c r="A97" t="s">
        <v>116</v>
      </c>
      <c r="B97" t="s">
        <v>117</v>
      </c>
      <c r="C97" t="s">
        <v>85</v>
      </c>
      <c r="D97" s="1">
        <v>46116</v>
      </c>
      <c r="E97" s="2">
        <v>0.73958333333333337</v>
      </c>
      <c r="F97" t="s">
        <v>126</v>
      </c>
      <c r="G97" t="s">
        <v>127</v>
      </c>
      <c r="H97">
        <v>0</v>
      </c>
      <c r="I97">
        <v>1</v>
      </c>
      <c r="J97" t="str">
        <f t="shared" si="3"/>
        <v>A</v>
      </c>
      <c r="N97">
        <v>3.5</v>
      </c>
      <c r="O97">
        <v>3.33</v>
      </c>
      <c r="P97">
        <v>1.87</v>
      </c>
      <c r="Q97">
        <v>3.5</v>
      </c>
      <c r="R97">
        <v>3.33</v>
      </c>
      <c r="S97">
        <v>1.87</v>
      </c>
    </row>
    <row r="98" spans="1:25" x14ac:dyDescent="0.25">
      <c r="A98" t="s">
        <v>116</v>
      </c>
      <c r="B98" t="s">
        <v>117</v>
      </c>
      <c r="C98" t="s">
        <v>85</v>
      </c>
      <c r="D98" s="1">
        <v>46117</v>
      </c>
      <c r="E98" s="2">
        <v>0.5</v>
      </c>
      <c r="F98" t="s">
        <v>124</v>
      </c>
      <c r="G98" t="s">
        <v>125</v>
      </c>
      <c r="H98">
        <v>0</v>
      </c>
      <c r="I98">
        <v>1</v>
      </c>
      <c r="J98" t="str">
        <f t="shared" si="3"/>
        <v>A</v>
      </c>
      <c r="N98">
        <v>2.9</v>
      </c>
      <c r="O98">
        <v>2.9</v>
      </c>
      <c r="P98">
        <v>2.33</v>
      </c>
      <c r="Q98">
        <v>2.9</v>
      </c>
      <c r="R98">
        <v>2.9</v>
      </c>
      <c r="S98">
        <v>2.33</v>
      </c>
    </row>
    <row r="99" spans="1:25" x14ac:dyDescent="0.25">
      <c r="A99" t="s">
        <v>116</v>
      </c>
      <c r="B99" t="s">
        <v>117</v>
      </c>
      <c r="C99" t="s">
        <v>85</v>
      </c>
      <c r="D99" s="1">
        <v>46117</v>
      </c>
      <c r="E99" s="2">
        <v>0.60416666666666663</v>
      </c>
      <c r="F99" t="s">
        <v>122</v>
      </c>
      <c r="G99" t="s">
        <v>123</v>
      </c>
      <c r="H99">
        <v>2</v>
      </c>
      <c r="I99">
        <v>2</v>
      </c>
      <c r="J99" t="str">
        <f t="shared" si="3"/>
        <v>D</v>
      </c>
      <c r="N99">
        <v>3.1</v>
      </c>
      <c r="O99">
        <v>2.71</v>
      </c>
      <c r="P99">
        <v>2.33</v>
      </c>
      <c r="Q99">
        <v>3.1</v>
      </c>
      <c r="R99">
        <v>2.71</v>
      </c>
      <c r="S99">
        <v>2.33</v>
      </c>
    </row>
    <row r="100" spans="1:25" x14ac:dyDescent="0.25">
      <c r="A100" t="s">
        <v>116</v>
      </c>
      <c r="B100" t="s">
        <v>117</v>
      </c>
      <c r="C100" t="s">
        <v>85</v>
      </c>
      <c r="D100" s="1">
        <v>46117</v>
      </c>
      <c r="E100" s="2">
        <v>0.72916666666666663</v>
      </c>
      <c r="F100" t="s">
        <v>120</v>
      </c>
      <c r="G100" t="s">
        <v>121</v>
      </c>
      <c r="H100">
        <v>2</v>
      </c>
      <c r="I100">
        <v>1</v>
      </c>
      <c r="J100" t="str">
        <f t="shared" si="3"/>
        <v>H</v>
      </c>
      <c r="N100">
        <v>2</v>
      </c>
      <c r="O100">
        <v>3.33</v>
      </c>
      <c r="P100">
        <v>3.14</v>
      </c>
      <c r="Q100">
        <v>2</v>
      </c>
      <c r="R100">
        <v>3.33</v>
      </c>
      <c r="S100">
        <v>3.14</v>
      </c>
    </row>
    <row r="101" spans="1:25" x14ac:dyDescent="0.25">
      <c r="A101" t="s">
        <v>116</v>
      </c>
      <c r="B101" t="s">
        <v>117</v>
      </c>
      <c r="C101" t="s">
        <v>85</v>
      </c>
      <c r="D101" s="1">
        <v>46118</v>
      </c>
      <c r="E101" s="2">
        <v>0.72916666666666663</v>
      </c>
      <c r="F101" t="s">
        <v>118</v>
      </c>
      <c r="G101" t="s">
        <v>119</v>
      </c>
      <c r="H101">
        <v>0</v>
      </c>
      <c r="I101">
        <v>1</v>
      </c>
      <c r="J101" t="str">
        <f t="shared" si="3"/>
        <v>A</v>
      </c>
      <c r="N101">
        <v>3.75</v>
      </c>
      <c r="O101">
        <v>3</v>
      </c>
      <c r="P101">
        <v>1.92</v>
      </c>
      <c r="Q101">
        <v>3.75</v>
      </c>
      <c r="R101">
        <v>3</v>
      </c>
      <c r="S101">
        <v>1.92</v>
      </c>
    </row>
    <row r="102" spans="1:25" x14ac:dyDescent="0.25">
      <c r="A102" t="s">
        <v>98</v>
      </c>
      <c r="B102" t="s">
        <v>99</v>
      </c>
      <c r="C102">
        <v>2026</v>
      </c>
      <c r="D102" s="1">
        <v>46116</v>
      </c>
      <c r="E102" s="2">
        <v>0.58333333333333337</v>
      </c>
      <c r="F102" t="s">
        <v>112</v>
      </c>
      <c r="G102" t="s">
        <v>113</v>
      </c>
      <c r="H102">
        <v>0</v>
      </c>
      <c r="I102">
        <v>3</v>
      </c>
      <c r="J102" t="str">
        <f t="shared" ref="J102:J130" si="4">IF(H102&gt;I102,"H",IF(H102=I102,"D","A"))</f>
        <v>A</v>
      </c>
      <c r="N102">
        <v>3.6</v>
      </c>
      <c r="O102">
        <v>3.5</v>
      </c>
      <c r="P102">
        <v>2.12</v>
      </c>
      <c r="Q102">
        <v>3.37</v>
      </c>
      <c r="R102">
        <v>3.36</v>
      </c>
      <c r="S102">
        <v>2.02</v>
      </c>
      <c r="T102">
        <v>3.7</v>
      </c>
      <c r="U102">
        <v>3.55</v>
      </c>
      <c r="V102">
        <v>2.1800000000000002</v>
      </c>
      <c r="W102">
        <v>3.6</v>
      </c>
      <c r="X102">
        <v>3.5</v>
      </c>
      <c r="Y102">
        <v>1.96</v>
      </c>
    </row>
    <row r="103" spans="1:25" x14ac:dyDescent="0.25">
      <c r="A103" t="s">
        <v>98</v>
      </c>
      <c r="B103" t="s">
        <v>99</v>
      </c>
      <c r="C103">
        <v>2026</v>
      </c>
      <c r="D103" s="1">
        <v>46116</v>
      </c>
      <c r="E103" s="2">
        <v>0.58333333333333337</v>
      </c>
      <c r="F103" t="s">
        <v>114</v>
      </c>
      <c r="G103" t="s">
        <v>115</v>
      </c>
      <c r="H103">
        <v>3</v>
      </c>
      <c r="I103">
        <v>0</v>
      </c>
      <c r="J103" t="str">
        <f t="shared" si="4"/>
        <v>H</v>
      </c>
      <c r="N103">
        <v>2</v>
      </c>
      <c r="O103">
        <v>3.6</v>
      </c>
      <c r="P103">
        <v>3.8</v>
      </c>
      <c r="Q103">
        <v>1.94</v>
      </c>
      <c r="R103">
        <v>3.42</v>
      </c>
      <c r="S103">
        <v>3.57</v>
      </c>
      <c r="T103">
        <v>2.02</v>
      </c>
      <c r="U103">
        <v>3.65</v>
      </c>
      <c r="V103">
        <v>4.0999999999999996</v>
      </c>
      <c r="W103">
        <v>1.91</v>
      </c>
      <c r="X103">
        <v>3.5</v>
      </c>
      <c r="Y103">
        <v>3.8</v>
      </c>
    </row>
    <row r="104" spans="1:25" x14ac:dyDescent="0.25">
      <c r="A104" t="s">
        <v>98</v>
      </c>
      <c r="B104" t="s">
        <v>99</v>
      </c>
      <c r="C104">
        <v>2026</v>
      </c>
      <c r="D104" s="1">
        <v>46117</v>
      </c>
      <c r="E104" s="2">
        <v>0.54166666666666663</v>
      </c>
      <c r="F104" t="s">
        <v>108</v>
      </c>
      <c r="G104" t="s">
        <v>109</v>
      </c>
      <c r="H104">
        <v>2</v>
      </c>
      <c r="I104">
        <v>1</v>
      </c>
      <c r="J104" t="str">
        <f t="shared" si="4"/>
        <v>H</v>
      </c>
      <c r="N104">
        <v>1.5</v>
      </c>
      <c r="O104">
        <v>4.75</v>
      </c>
      <c r="P104">
        <v>7.2</v>
      </c>
      <c r="Q104">
        <v>1.44</v>
      </c>
      <c r="R104">
        <v>4.21</v>
      </c>
      <c r="S104">
        <v>6.42</v>
      </c>
      <c r="T104">
        <v>1.5</v>
      </c>
      <c r="U104">
        <v>4.8</v>
      </c>
      <c r="V104">
        <v>7.4</v>
      </c>
      <c r="W104">
        <v>1.45</v>
      </c>
      <c r="X104">
        <v>4.75</v>
      </c>
      <c r="Y104">
        <v>6</v>
      </c>
    </row>
    <row r="105" spans="1:25" x14ac:dyDescent="0.25">
      <c r="A105" t="s">
        <v>98</v>
      </c>
      <c r="B105" t="s">
        <v>99</v>
      </c>
      <c r="C105">
        <v>2026</v>
      </c>
      <c r="D105" s="1">
        <v>46117</v>
      </c>
      <c r="E105" s="2">
        <v>0.54166666666666663</v>
      </c>
      <c r="F105" t="s">
        <v>110</v>
      </c>
      <c r="G105" t="s">
        <v>111</v>
      </c>
      <c r="H105">
        <v>0</v>
      </c>
      <c r="I105">
        <v>1</v>
      </c>
      <c r="J105" t="str">
        <f t="shared" si="4"/>
        <v>A</v>
      </c>
      <c r="N105">
        <v>2.25</v>
      </c>
      <c r="O105">
        <v>3.4</v>
      </c>
      <c r="P105">
        <v>3.65</v>
      </c>
      <c r="Q105">
        <v>2.15</v>
      </c>
      <c r="R105">
        <v>3.11</v>
      </c>
      <c r="S105">
        <v>3.32</v>
      </c>
      <c r="T105">
        <v>2.34</v>
      </c>
      <c r="U105">
        <v>3.25</v>
      </c>
      <c r="V105">
        <v>3.6</v>
      </c>
      <c r="W105">
        <v>2.15</v>
      </c>
      <c r="X105">
        <v>3.4</v>
      </c>
      <c r="Y105">
        <v>3.25</v>
      </c>
    </row>
    <row r="106" spans="1:25" x14ac:dyDescent="0.25">
      <c r="A106" t="s">
        <v>98</v>
      </c>
      <c r="B106" t="s">
        <v>99</v>
      </c>
      <c r="C106">
        <v>2026</v>
      </c>
      <c r="D106" s="1">
        <v>46117</v>
      </c>
      <c r="E106" s="2">
        <v>0.64583333333333337</v>
      </c>
      <c r="F106" t="s">
        <v>106</v>
      </c>
      <c r="G106" t="s">
        <v>107</v>
      </c>
      <c r="H106">
        <v>1</v>
      </c>
      <c r="I106">
        <v>1</v>
      </c>
      <c r="J106" t="str">
        <f t="shared" si="4"/>
        <v>D</v>
      </c>
      <c r="N106">
        <v>5.8</v>
      </c>
      <c r="O106">
        <v>4.2</v>
      </c>
      <c r="P106">
        <v>1.6</v>
      </c>
      <c r="Q106">
        <v>5.31</v>
      </c>
      <c r="R106">
        <v>3.99</v>
      </c>
      <c r="S106">
        <v>1.54</v>
      </c>
      <c r="T106">
        <v>5.9</v>
      </c>
      <c r="U106">
        <v>4.3</v>
      </c>
      <c r="V106">
        <v>1.64</v>
      </c>
      <c r="W106">
        <v>5.5</v>
      </c>
      <c r="X106">
        <v>4</v>
      </c>
      <c r="Y106">
        <v>1.53</v>
      </c>
    </row>
    <row r="107" spans="1:25" x14ac:dyDescent="0.25">
      <c r="A107" t="s">
        <v>98</v>
      </c>
      <c r="B107" t="s">
        <v>99</v>
      </c>
      <c r="C107">
        <v>2026</v>
      </c>
      <c r="D107" s="1">
        <v>46118</v>
      </c>
      <c r="E107" s="2">
        <v>0.54166666666666663</v>
      </c>
      <c r="F107" t="s">
        <v>104</v>
      </c>
      <c r="G107" t="s">
        <v>105</v>
      </c>
      <c r="H107">
        <v>2</v>
      </c>
      <c r="I107">
        <v>0</v>
      </c>
      <c r="J107" t="str">
        <f t="shared" si="4"/>
        <v>H</v>
      </c>
      <c r="N107">
        <v>2.2799999999999998</v>
      </c>
      <c r="O107">
        <v>3.3</v>
      </c>
      <c r="P107">
        <v>3.4</v>
      </c>
      <c r="Q107">
        <v>2.1800000000000002</v>
      </c>
      <c r="R107">
        <v>3.18</v>
      </c>
      <c r="S107">
        <v>3.16</v>
      </c>
      <c r="T107">
        <v>2.34</v>
      </c>
      <c r="U107">
        <v>3.35</v>
      </c>
      <c r="V107">
        <v>3.55</v>
      </c>
      <c r="W107">
        <v>2.15</v>
      </c>
      <c r="X107">
        <v>3.3</v>
      </c>
      <c r="Y107">
        <v>3.3</v>
      </c>
    </row>
    <row r="108" spans="1:25" x14ac:dyDescent="0.25">
      <c r="A108" t="s">
        <v>98</v>
      </c>
      <c r="B108" t="s">
        <v>99</v>
      </c>
      <c r="C108">
        <v>2026</v>
      </c>
      <c r="D108" s="1">
        <v>46118</v>
      </c>
      <c r="E108" s="2">
        <v>0.54166666666666663</v>
      </c>
      <c r="F108" t="s">
        <v>102</v>
      </c>
      <c r="G108" t="s">
        <v>103</v>
      </c>
      <c r="H108">
        <v>2</v>
      </c>
      <c r="I108">
        <v>2</v>
      </c>
      <c r="J108" t="str">
        <f t="shared" si="4"/>
        <v>D</v>
      </c>
      <c r="N108">
        <v>1.7</v>
      </c>
      <c r="O108">
        <v>4.25</v>
      </c>
      <c r="P108">
        <v>4.8</v>
      </c>
      <c r="Q108">
        <v>1.64</v>
      </c>
      <c r="R108">
        <v>3.94</v>
      </c>
      <c r="S108">
        <v>4.4400000000000004</v>
      </c>
      <c r="T108">
        <v>1.74</v>
      </c>
      <c r="U108">
        <v>4.3</v>
      </c>
      <c r="V108">
        <v>4.9000000000000004</v>
      </c>
      <c r="W108">
        <v>1.66</v>
      </c>
      <c r="X108">
        <v>4</v>
      </c>
      <c r="Y108">
        <v>4.75</v>
      </c>
    </row>
    <row r="109" spans="1:25" x14ac:dyDescent="0.25">
      <c r="A109" t="s">
        <v>98</v>
      </c>
      <c r="B109" t="s">
        <v>99</v>
      </c>
      <c r="C109">
        <v>2026</v>
      </c>
      <c r="D109" s="1">
        <v>46118</v>
      </c>
      <c r="E109" s="2">
        <v>0.64583333333333337</v>
      </c>
      <c r="F109" t="s">
        <v>100</v>
      </c>
      <c r="G109" t="s">
        <v>101</v>
      </c>
      <c r="H109">
        <v>0</v>
      </c>
      <c r="I109">
        <v>1</v>
      </c>
      <c r="J109" t="str">
        <f t="shared" si="4"/>
        <v>A</v>
      </c>
      <c r="N109">
        <v>2.25</v>
      </c>
      <c r="O109">
        <v>3.3</v>
      </c>
      <c r="P109">
        <v>3.5</v>
      </c>
      <c r="Q109">
        <v>2.15</v>
      </c>
      <c r="R109">
        <v>3.18</v>
      </c>
      <c r="S109">
        <v>3.23</v>
      </c>
      <c r="T109">
        <v>2.2400000000000002</v>
      </c>
      <c r="U109">
        <v>3.35</v>
      </c>
      <c r="V109">
        <v>3.75</v>
      </c>
      <c r="W109">
        <v>2.1</v>
      </c>
      <c r="X109">
        <v>3.3</v>
      </c>
      <c r="Y109">
        <v>3.4</v>
      </c>
    </row>
    <row r="110" spans="1:25" x14ac:dyDescent="0.25">
      <c r="A110" t="s">
        <v>83</v>
      </c>
      <c r="B110" t="s">
        <v>84</v>
      </c>
      <c r="C110" t="s">
        <v>85</v>
      </c>
      <c r="D110" s="1">
        <v>46116</v>
      </c>
      <c r="E110" s="2">
        <v>0.70833333333333337</v>
      </c>
      <c r="F110" t="s">
        <v>92</v>
      </c>
      <c r="G110" t="s">
        <v>93</v>
      </c>
      <c r="H110">
        <v>2</v>
      </c>
      <c r="I110">
        <v>1</v>
      </c>
      <c r="J110" t="str">
        <f t="shared" si="4"/>
        <v>H</v>
      </c>
      <c r="N110">
        <v>1.51</v>
      </c>
      <c r="O110">
        <v>4.5999999999999996</v>
      </c>
      <c r="P110">
        <v>6.25</v>
      </c>
      <c r="Q110">
        <v>1.46</v>
      </c>
      <c r="R110">
        <v>4.43</v>
      </c>
      <c r="S110">
        <v>5.49</v>
      </c>
      <c r="T110">
        <v>1.57</v>
      </c>
      <c r="U110">
        <v>4.7</v>
      </c>
      <c r="V110">
        <v>6.2</v>
      </c>
      <c r="W110">
        <v>1.49</v>
      </c>
      <c r="X110">
        <v>4.2</v>
      </c>
      <c r="Y110">
        <v>6.25</v>
      </c>
    </row>
    <row r="111" spans="1:25" x14ac:dyDescent="0.25">
      <c r="A111" t="s">
        <v>83</v>
      </c>
      <c r="B111" t="s">
        <v>84</v>
      </c>
      <c r="C111" t="s">
        <v>85</v>
      </c>
      <c r="D111" s="1">
        <v>46116</v>
      </c>
      <c r="E111" s="2">
        <v>0.70833333333333337</v>
      </c>
      <c r="F111" t="s">
        <v>96</v>
      </c>
      <c r="G111" t="s">
        <v>97</v>
      </c>
      <c r="H111">
        <v>1</v>
      </c>
      <c r="I111">
        <v>0</v>
      </c>
      <c r="J111" t="str">
        <f t="shared" si="4"/>
        <v>H</v>
      </c>
      <c r="N111">
        <v>2.57</v>
      </c>
      <c r="O111">
        <v>3.65</v>
      </c>
      <c r="P111">
        <v>2.57</v>
      </c>
      <c r="Q111">
        <v>2.4900000000000002</v>
      </c>
      <c r="R111">
        <v>3.51</v>
      </c>
      <c r="S111">
        <v>2.46</v>
      </c>
      <c r="T111">
        <v>2.68</v>
      </c>
      <c r="U111">
        <v>3.8</v>
      </c>
      <c r="V111">
        <v>2.66</v>
      </c>
      <c r="W111">
        <v>2.5</v>
      </c>
      <c r="X111">
        <v>3.6</v>
      </c>
      <c r="Y111">
        <v>2.4500000000000002</v>
      </c>
    </row>
    <row r="112" spans="1:25" x14ac:dyDescent="0.25">
      <c r="A112" t="s">
        <v>83</v>
      </c>
      <c r="B112" t="s">
        <v>84</v>
      </c>
      <c r="C112" t="s">
        <v>85</v>
      </c>
      <c r="D112" s="1">
        <v>46116</v>
      </c>
      <c r="E112" s="2">
        <v>0.8125</v>
      </c>
      <c r="F112" t="s">
        <v>90</v>
      </c>
      <c r="G112" t="s">
        <v>91</v>
      </c>
      <c r="H112">
        <v>3</v>
      </c>
      <c r="I112">
        <v>3</v>
      </c>
      <c r="J112" t="str">
        <f t="shared" si="4"/>
        <v>D</v>
      </c>
      <c r="N112">
        <v>2.25</v>
      </c>
      <c r="O112">
        <v>3.8</v>
      </c>
      <c r="P112">
        <v>3</v>
      </c>
      <c r="Q112">
        <v>2.16</v>
      </c>
      <c r="R112">
        <v>3.62</v>
      </c>
      <c r="S112">
        <v>2.84</v>
      </c>
      <c r="T112">
        <v>2.3199999999999998</v>
      </c>
      <c r="U112">
        <v>3.85</v>
      </c>
      <c r="V112">
        <v>3.15</v>
      </c>
      <c r="W112">
        <v>2.1</v>
      </c>
      <c r="X112">
        <v>3.7</v>
      </c>
      <c r="Y112">
        <v>3</v>
      </c>
    </row>
    <row r="113" spans="1:25" x14ac:dyDescent="0.25">
      <c r="A113" t="s">
        <v>83</v>
      </c>
      <c r="B113" t="s">
        <v>84</v>
      </c>
      <c r="C113" t="s">
        <v>85</v>
      </c>
      <c r="D113" s="1">
        <v>46118</v>
      </c>
      <c r="E113" s="2">
        <v>0.54166666666666663</v>
      </c>
      <c r="F113" t="s">
        <v>88</v>
      </c>
      <c r="G113" t="s">
        <v>89</v>
      </c>
      <c r="H113">
        <v>0</v>
      </c>
      <c r="I113">
        <v>4</v>
      </c>
      <c r="J113" t="str">
        <f t="shared" si="4"/>
        <v>A</v>
      </c>
      <c r="N113">
        <v>3.1</v>
      </c>
      <c r="O113">
        <v>3.6</v>
      </c>
      <c r="P113">
        <v>2.35</v>
      </c>
      <c r="Q113">
        <v>2.89</v>
      </c>
      <c r="R113">
        <v>3.4</v>
      </c>
      <c r="S113">
        <v>2.21</v>
      </c>
      <c r="T113">
        <v>3.3</v>
      </c>
      <c r="U113">
        <v>3.6</v>
      </c>
      <c r="V113">
        <v>2.34</v>
      </c>
      <c r="W113">
        <v>2.85</v>
      </c>
      <c r="X113">
        <v>3.3</v>
      </c>
      <c r="Y113">
        <v>2.1</v>
      </c>
    </row>
    <row r="114" spans="1:25" x14ac:dyDescent="0.25">
      <c r="A114" t="s">
        <v>83</v>
      </c>
      <c r="B114" t="s">
        <v>84</v>
      </c>
      <c r="C114" t="s">
        <v>85</v>
      </c>
      <c r="D114" s="1">
        <v>46118</v>
      </c>
      <c r="E114" s="2">
        <v>0.64583333333333337</v>
      </c>
      <c r="F114" t="s">
        <v>86</v>
      </c>
      <c r="G114" t="s">
        <v>87</v>
      </c>
      <c r="H114">
        <v>3</v>
      </c>
      <c r="I114">
        <v>0</v>
      </c>
      <c r="J114" t="str">
        <f t="shared" si="4"/>
        <v>H</v>
      </c>
      <c r="N114">
        <v>2.15</v>
      </c>
      <c r="O114">
        <v>3.8</v>
      </c>
      <c r="P114">
        <v>3.2</v>
      </c>
      <c r="Q114">
        <v>2.06</v>
      </c>
      <c r="R114">
        <v>3.7</v>
      </c>
      <c r="S114">
        <v>2.99</v>
      </c>
      <c r="T114">
        <v>2.2000000000000002</v>
      </c>
      <c r="U114">
        <v>4</v>
      </c>
      <c r="V114">
        <v>3.2</v>
      </c>
      <c r="W114">
        <v>2.0499999999999998</v>
      </c>
      <c r="X114">
        <v>3.8</v>
      </c>
      <c r="Y114">
        <v>3</v>
      </c>
    </row>
    <row r="115" spans="1:25" x14ac:dyDescent="0.25">
      <c r="A115" t="s">
        <v>83</v>
      </c>
      <c r="B115" t="s">
        <v>84</v>
      </c>
      <c r="C115" t="s">
        <v>85</v>
      </c>
      <c r="D115" s="1">
        <v>46118</v>
      </c>
      <c r="E115" s="2">
        <v>0.64583333333333337</v>
      </c>
      <c r="F115" t="s">
        <v>94</v>
      </c>
      <c r="G115" t="s">
        <v>95</v>
      </c>
      <c r="H115">
        <v>2</v>
      </c>
      <c r="I115">
        <v>1</v>
      </c>
      <c r="J115" t="str">
        <f t="shared" si="4"/>
        <v>H</v>
      </c>
      <c r="N115">
        <v>1.5</v>
      </c>
      <c r="O115">
        <v>4.8</v>
      </c>
      <c r="P115">
        <v>6</v>
      </c>
      <c r="Q115">
        <v>1.45</v>
      </c>
      <c r="R115">
        <v>4.6100000000000003</v>
      </c>
      <c r="S115">
        <v>5.44</v>
      </c>
      <c r="T115">
        <v>1.5</v>
      </c>
      <c r="U115">
        <v>5.2</v>
      </c>
      <c r="V115">
        <v>6.6</v>
      </c>
      <c r="W115">
        <v>1.45</v>
      </c>
      <c r="X115">
        <v>4.75</v>
      </c>
      <c r="Y115">
        <v>5.75</v>
      </c>
    </row>
    <row r="116" spans="1:25" x14ac:dyDescent="0.25">
      <c r="A116" t="s">
        <v>51</v>
      </c>
      <c r="B116" t="s">
        <v>52</v>
      </c>
      <c r="C116">
        <v>2026</v>
      </c>
      <c r="D116" s="1">
        <v>46116</v>
      </c>
      <c r="E116" s="2">
        <v>0.75</v>
      </c>
      <c r="F116" t="s">
        <v>79</v>
      </c>
      <c r="G116" t="s">
        <v>80</v>
      </c>
      <c r="H116">
        <v>3</v>
      </c>
      <c r="I116">
        <v>2</v>
      </c>
      <c r="J116" t="str">
        <f t="shared" si="4"/>
        <v>H</v>
      </c>
      <c r="N116">
        <v>2.0499999999999998</v>
      </c>
      <c r="O116">
        <v>3.75</v>
      </c>
      <c r="P116">
        <v>3.6</v>
      </c>
      <c r="Q116">
        <v>1.97</v>
      </c>
      <c r="R116">
        <v>3.59</v>
      </c>
      <c r="S116">
        <v>3.43</v>
      </c>
      <c r="T116">
        <v>2.06</v>
      </c>
      <c r="U116">
        <v>3.8</v>
      </c>
      <c r="V116">
        <v>3.75</v>
      </c>
      <c r="W116">
        <v>1.96</v>
      </c>
      <c r="X116">
        <v>3.75</v>
      </c>
      <c r="Y116">
        <v>3.6</v>
      </c>
    </row>
    <row r="117" spans="1:25" x14ac:dyDescent="0.25">
      <c r="A117" t="s">
        <v>51</v>
      </c>
      <c r="B117" t="s">
        <v>52</v>
      </c>
      <c r="C117">
        <v>2026</v>
      </c>
      <c r="D117" s="1">
        <v>46116</v>
      </c>
      <c r="E117" s="2">
        <v>0.89583333333333337</v>
      </c>
      <c r="F117" t="s">
        <v>75</v>
      </c>
      <c r="G117" t="s">
        <v>76</v>
      </c>
      <c r="H117">
        <v>3</v>
      </c>
      <c r="I117">
        <v>0</v>
      </c>
      <c r="J117" t="str">
        <f t="shared" si="4"/>
        <v>H</v>
      </c>
      <c r="N117">
        <v>1.95</v>
      </c>
      <c r="O117">
        <v>3.8</v>
      </c>
      <c r="P117">
        <v>3.9</v>
      </c>
      <c r="Q117">
        <v>1.89</v>
      </c>
      <c r="R117">
        <v>3.63</v>
      </c>
      <c r="S117">
        <v>3.66</v>
      </c>
      <c r="T117">
        <v>1.97</v>
      </c>
      <c r="U117">
        <v>3.85</v>
      </c>
      <c r="V117">
        <v>4.2</v>
      </c>
      <c r="W117">
        <v>1.86</v>
      </c>
      <c r="X117">
        <v>3.8</v>
      </c>
      <c r="Y117">
        <v>3.75</v>
      </c>
    </row>
    <row r="118" spans="1:25" x14ac:dyDescent="0.25">
      <c r="A118" t="s">
        <v>51</v>
      </c>
      <c r="B118" t="s">
        <v>52</v>
      </c>
      <c r="C118">
        <v>2026</v>
      </c>
      <c r="D118" s="1">
        <v>46116</v>
      </c>
      <c r="E118" s="2">
        <v>0.89583333333333337</v>
      </c>
      <c r="F118" t="s">
        <v>77</v>
      </c>
      <c r="G118" t="s">
        <v>78</v>
      </c>
      <c r="H118">
        <v>3</v>
      </c>
      <c r="I118">
        <v>1</v>
      </c>
      <c r="J118" t="str">
        <f t="shared" si="4"/>
        <v>H</v>
      </c>
      <c r="N118">
        <v>1.3</v>
      </c>
      <c r="O118">
        <v>6.4</v>
      </c>
      <c r="P118">
        <v>11.5</v>
      </c>
      <c r="Q118">
        <v>1.26</v>
      </c>
      <c r="R118">
        <v>5.88</v>
      </c>
      <c r="S118">
        <v>8.9700000000000006</v>
      </c>
      <c r="T118">
        <v>1.34</v>
      </c>
      <c r="U118">
        <v>6.4</v>
      </c>
      <c r="V118">
        <v>9.8000000000000007</v>
      </c>
      <c r="W118">
        <v>1.27</v>
      </c>
      <c r="X118">
        <v>6.25</v>
      </c>
      <c r="Y118">
        <v>8.5</v>
      </c>
    </row>
    <row r="119" spans="1:25" x14ac:dyDescent="0.25">
      <c r="A119" t="s">
        <v>51</v>
      </c>
      <c r="B119" t="s">
        <v>52</v>
      </c>
      <c r="C119">
        <v>2026</v>
      </c>
      <c r="D119" s="1">
        <v>46117</v>
      </c>
      <c r="E119" s="2">
        <v>2.0833333333333332E-2</v>
      </c>
      <c r="F119" t="s">
        <v>63</v>
      </c>
      <c r="G119" t="s">
        <v>64</v>
      </c>
      <c r="H119">
        <v>1</v>
      </c>
      <c r="I119">
        <v>3</v>
      </c>
      <c r="J119" t="str">
        <f t="shared" si="4"/>
        <v>A</v>
      </c>
      <c r="N119">
        <v>3</v>
      </c>
      <c r="O119">
        <v>3.6</v>
      </c>
      <c r="P119">
        <v>2.42</v>
      </c>
      <c r="Q119">
        <v>2.83</v>
      </c>
      <c r="R119">
        <v>3.48</v>
      </c>
      <c r="S119">
        <v>2.29</v>
      </c>
      <c r="T119">
        <v>3.05</v>
      </c>
      <c r="U119">
        <v>3.65</v>
      </c>
      <c r="V119">
        <v>2.46</v>
      </c>
      <c r="W119">
        <v>3</v>
      </c>
      <c r="X119">
        <v>3.6</v>
      </c>
      <c r="Y119">
        <v>2.2000000000000002</v>
      </c>
    </row>
    <row r="120" spans="1:25" x14ac:dyDescent="0.25">
      <c r="A120" t="s">
        <v>51</v>
      </c>
      <c r="B120" t="s">
        <v>52</v>
      </c>
      <c r="C120">
        <v>2026</v>
      </c>
      <c r="D120" s="1">
        <v>46117</v>
      </c>
      <c r="E120" s="2">
        <v>2.0833333333333332E-2</v>
      </c>
      <c r="F120" t="s">
        <v>67</v>
      </c>
      <c r="G120" t="s">
        <v>68</v>
      </c>
      <c r="H120">
        <v>2</v>
      </c>
      <c r="I120">
        <v>1</v>
      </c>
      <c r="J120" t="str">
        <f t="shared" si="4"/>
        <v>H</v>
      </c>
      <c r="N120">
        <v>2.25</v>
      </c>
      <c r="O120">
        <v>3.6</v>
      </c>
      <c r="P120">
        <v>3.25</v>
      </c>
      <c r="Q120">
        <v>2.17</v>
      </c>
      <c r="R120">
        <v>3.5</v>
      </c>
      <c r="S120">
        <v>3</v>
      </c>
      <c r="T120">
        <v>2.34</v>
      </c>
      <c r="U120">
        <v>3.7</v>
      </c>
      <c r="V120">
        <v>3.25</v>
      </c>
      <c r="W120">
        <v>2.2000000000000002</v>
      </c>
      <c r="X120">
        <v>3.6</v>
      </c>
      <c r="Y120">
        <v>3.1</v>
      </c>
    </row>
    <row r="121" spans="1:25" x14ac:dyDescent="0.25">
      <c r="A121" t="s">
        <v>51</v>
      </c>
      <c r="B121" t="s">
        <v>52</v>
      </c>
      <c r="C121">
        <v>2026</v>
      </c>
      <c r="D121" s="1">
        <v>46117</v>
      </c>
      <c r="E121" s="2">
        <v>2.0833333333333332E-2</v>
      </c>
      <c r="F121" t="s">
        <v>69</v>
      </c>
      <c r="G121" t="s">
        <v>70</v>
      </c>
      <c r="H121">
        <v>0</v>
      </c>
      <c r="I121">
        <v>4</v>
      </c>
      <c r="J121" t="str">
        <f t="shared" si="4"/>
        <v>A</v>
      </c>
      <c r="N121">
        <v>2.2799999999999998</v>
      </c>
      <c r="O121">
        <v>3.55</v>
      </c>
      <c r="P121">
        <v>3.2</v>
      </c>
      <c r="Q121">
        <v>2.1800000000000002</v>
      </c>
      <c r="R121">
        <v>3.4</v>
      </c>
      <c r="S121">
        <v>3.07</v>
      </c>
      <c r="T121">
        <v>2.34</v>
      </c>
      <c r="U121">
        <v>3.45</v>
      </c>
      <c r="V121">
        <v>3.4</v>
      </c>
      <c r="W121">
        <v>2.2000000000000002</v>
      </c>
      <c r="X121">
        <v>3.5</v>
      </c>
      <c r="Y121">
        <v>3.1</v>
      </c>
    </row>
    <row r="122" spans="1:25" x14ac:dyDescent="0.25">
      <c r="A122" t="s">
        <v>51</v>
      </c>
      <c r="B122" t="s">
        <v>52</v>
      </c>
      <c r="C122">
        <v>2026</v>
      </c>
      <c r="D122" s="1">
        <v>46117</v>
      </c>
      <c r="E122" s="2">
        <v>2.0833333333333332E-2</v>
      </c>
      <c r="F122" t="s">
        <v>65</v>
      </c>
      <c r="G122" t="s">
        <v>66</v>
      </c>
      <c r="H122">
        <v>2</v>
      </c>
      <c r="I122">
        <v>2</v>
      </c>
      <c r="J122" t="str">
        <f t="shared" si="4"/>
        <v>D</v>
      </c>
      <c r="N122">
        <v>1.4</v>
      </c>
      <c r="O122">
        <v>5.25</v>
      </c>
      <c r="P122">
        <v>8</v>
      </c>
      <c r="Q122">
        <v>1.34</v>
      </c>
      <c r="R122">
        <v>5.08</v>
      </c>
      <c r="S122">
        <v>7.37</v>
      </c>
      <c r="T122">
        <v>1.41</v>
      </c>
      <c r="U122">
        <v>5.4</v>
      </c>
      <c r="V122">
        <v>9</v>
      </c>
      <c r="W122">
        <v>1.33</v>
      </c>
      <c r="X122">
        <v>5.25</v>
      </c>
      <c r="Y122">
        <v>7.5</v>
      </c>
    </row>
    <row r="123" spans="1:25" x14ac:dyDescent="0.25">
      <c r="A123" t="s">
        <v>51</v>
      </c>
      <c r="B123" t="s">
        <v>52</v>
      </c>
      <c r="C123">
        <v>2026</v>
      </c>
      <c r="D123" s="1">
        <v>46117</v>
      </c>
      <c r="E123" s="2">
        <v>2.0833333333333332E-2</v>
      </c>
      <c r="F123" t="s">
        <v>73</v>
      </c>
      <c r="G123" t="s">
        <v>74</v>
      </c>
      <c r="H123">
        <v>1</v>
      </c>
      <c r="I123">
        <v>1</v>
      </c>
      <c r="J123" t="str">
        <f t="shared" si="4"/>
        <v>D</v>
      </c>
      <c r="N123">
        <v>1.75</v>
      </c>
      <c r="O123">
        <v>3.9</v>
      </c>
      <c r="P123">
        <v>4.9000000000000004</v>
      </c>
      <c r="Q123">
        <v>1.72</v>
      </c>
      <c r="R123">
        <v>3.73</v>
      </c>
      <c r="S123">
        <v>4.33</v>
      </c>
      <c r="T123">
        <v>1.82</v>
      </c>
      <c r="U123">
        <v>4</v>
      </c>
      <c r="V123">
        <v>4.8</v>
      </c>
      <c r="W123">
        <v>1.71</v>
      </c>
      <c r="X123">
        <v>3.9</v>
      </c>
      <c r="Y123">
        <v>4.33</v>
      </c>
    </row>
    <row r="124" spans="1:25" x14ac:dyDescent="0.25">
      <c r="A124" t="s">
        <v>51</v>
      </c>
      <c r="B124" t="s">
        <v>52</v>
      </c>
      <c r="C124">
        <v>2026</v>
      </c>
      <c r="D124" s="1">
        <v>46117</v>
      </c>
      <c r="E124" s="2">
        <v>2.0833333333333332E-2</v>
      </c>
      <c r="F124" t="s">
        <v>71</v>
      </c>
      <c r="G124" t="s">
        <v>72</v>
      </c>
      <c r="H124">
        <v>4</v>
      </c>
      <c r="I124">
        <v>2</v>
      </c>
      <c r="J124" t="str">
        <f t="shared" si="4"/>
        <v>H</v>
      </c>
      <c r="N124">
        <v>2</v>
      </c>
      <c r="O124">
        <v>4</v>
      </c>
      <c r="P124">
        <v>3.7</v>
      </c>
      <c r="Q124">
        <v>1.91</v>
      </c>
      <c r="R124">
        <v>3.83</v>
      </c>
      <c r="S124">
        <v>3.38</v>
      </c>
      <c r="T124">
        <v>2.04</v>
      </c>
      <c r="U124">
        <v>4</v>
      </c>
      <c r="V124">
        <v>3.75</v>
      </c>
      <c r="W124">
        <v>1.86</v>
      </c>
      <c r="X124">
        <v>3.9</v>
      </c>
      <c r="Y124">
        <v>3.7</v>
      </c>
    </row>
    <row r="125" spans="1:25" x14ac:dyDescent="0.25">
      <c r="A125" t="s">
        <v>51</v>
      </c>
      <c r="B125" t="s">
        <v>52</v>
      </c>
      <c r="C125">
        <v>2026</v>
      </c>
      <c r="D125" s="1">
        <v>46117</v>
      </c>
      <c r="E125" s="2">
        <v>6.25E-2</v>
      </c>
      <c r="F125" t="s">
        <v>59</v>
      </c>
      <c r="G125" t="s">
        <v>60</v>
      </c>
      <c r="H125">
        <v>1</v>
      </c>
      <c r="I125">
        <v>0</v>
      </c>
      <c r="J125" t="str">
        <f t="shared" si="4"/>
        <v>H</v>
      </c>
      <c r="N125">
        <v>2.5</v>
      </c>
      <c r="O125">
        <v>3.3</v>
      </c>
      <c r="P125">
        <v>3.05</v>
      </c>
      <c r="Q125">
        <v>2.42</v>
      </c>
      <c r="R125">
        <v>3.14</v>
      </c>
      <c r="S125">
        <v>2.87</v>
      </c>
      <c r="T125">
        <v>2.62</v>
      </c>
      <c r="U125">
        <v>3.35</v>
      </c>
      <c r="V125">
        <v>3.05</v>
      </c>
      <c r="W125">
        <v>2.4500000000000002</v>
      </c>
      <c r="X125">
        <v>3.1</v>
      </c>
      <c r="Y125">
        <v>2.85</v>
      </c>
    </row>
    <row r="126" spans="1:25" x14ac:dyDescent="0.25">
      <c r="A126" t="s">
        <v>51</v>
      </c>
      <c r="B126" t="s">
        <v>52</v>
      </c>
      <c r="C126">
        <v>2026</v>
      </c>
      <c r="D126" s="1">
        <v>46117</v>
      </c>
      <c r="E126" s="2">
        <v>6.25E-2</v>
      </c>
      <c r="F126" t="s">
        <v>61</v>
      </c>
      <c r="G126" t="s">
        <v>62</v>
      </c>
      <c r="H126">
        <v>0</v>
      </c>
      <c r="I126">
        <v>1</v>
      </c>
      <c r="J126" t="str">
        <f t="shared" si="4"/>
        <v>A</v>
      </c>
      <c r="N126">
        <v>2.6</v>
      </c>
      <c r="O126">
        <v>3.6</v>
      </c>
      <c r="P126">
        <v>2.82</v>
      </c>
      <c r="Q126">
        <v>2.4</v>
      </c>
      <c r="R126">
        <v>3.43</v>
      </c>
      <c r="S126">
        <v>2.69</v>
      </c>
      <c r="T126">
        <v>2.58</v>
      </c>
      <c r="U126">
        <v>3.55</v>
      </c>
      <c r="V126">
        <v>2.96</v>
      </c>
      <c r="W126">
        <v>2.35</v>
      </c>
      <c r="X126">
        <v>3.5</v>
      </c>
      <c r="Y126">
        <v>2.82</v>
      </c>
    </row>
    <row r="127" spans="1:25" x14ac:dyDescent="0.25">
      <c r="A127" t="s">
        <v>51</v>
      </c>
      <c r="B127" t="s">
        <v>52</v>
      </c>
      <c r="C127">
        <v>2026</v>
      </c>
      <c r="D127" s="1">
        <v>46117</v>
      </c>
      <c r="E127" s="2">
        <v>0.10416666666666667</v>
      </c>
      <c r="F127" t="s">
        <v>81</v>
      </c>
      <c r="G127" t="s">
        <v>82</v>
      </c>
      <c r="H127">
        <v>6</v>
      </c>
      <c r="I127">
        <v>0</v>
      </c>
      <c r="J127" t="str">
        <f t="shared" si="4"/>
        <v>H</v>
      </c>
      <c r="N127">
        <v>1.3</v>
      </c>
      <c r="O127">
        <v>6.33</v>
      </c>
      <c r="P127">
        <v>9.5</v>
      </c>
      <c r="Q127">
        <v>1.27</v>
      </c>
      <c r="R127">
        <v>5.82</v>
      </c>
      <c r="S127">
        <v>8.44</v>
      </c>
      <c r="T127">
        <v>1.32</v>
      </c>
      <c r="U127">
        <v>6.4</v>
      </c>
      <c r="V127">
        <v>10</v>
      </c>
      <c r="W127">
        <v>1.27</v>
      </c>
      <c r="X127">
        <v>6</v>
      </c>
      <c r="Y127">
        <v>8</v>
      </c>
    </row>
    <row r="128" spans="1:25" x14ac:dyDescent="0.25">
      <c r="A128" t="s">
        <v>51</v>
      </c>
      <c r="B128" t="s">
        <v>52</v>
      </c>
      <c r="C128">
        <v>2026</v>
      </c>
      <c r="D128" s="1">
        <v>46117</v>
      </c>
      <c r="E128" s="2">
        <v>0.14583333333333334</v>
      </c>
      <c r="F128" t="s">
        <v>53</v>
      </c>
      <c r="G128" t="s">
        <v>54</v>
      </c>
      <c r="H128">
        <v>1</v>
      </c>
      <c r="I128">
        <v>2</v>
      </c>
      <c r="J128" t="str">
        <f t="shared" si="4"/>
        <v>A</v>
      </c>
      <c r="N128">
        <v>1.97</v>
      </c>
      <c r="O128">
        <v>4</v>
      </c>
      <c r="P128">
        <v>3.66</v>
      </c>
      <c r="Q128">
        <v>1.89</v>
      </c>
      <c r="R128">
        <v>3.76</v>
      </c>
      <c r="S128">
        <v>3.5</v>
      </c>
      <c r="T128">
        <v>2</v>
      </c>
      <c r="U128">
        <v>3.95</v>
      </c>
      <c r="V128">
        <v>3.9</v>
      </c>
      <c r="W128">
        <v>1.91</v>
      </c>
      <c r="X128">
        <v>3.9</v>
      </c>
      <c r="Y128">
        <v>3.5</v>
      </c>
    </row>
    <row r="129" spans="1:25" x14ac:dyDescent="0.25">
      <c r="A129" t="s">
        <v>51</v>
      </c>
      <c r="B129" t="s">
        <v>52</v>
      </c>
      <c r="C129">
        <v>2026</v>
      </c>
      <c r="D129" s="1">
        <v>46117</v>
      </c>
      <c r="E129" s="2">
        <v>0.14583333333333334</v>
      </c>
      <c r="F129" t="s">
        <v>57</v>
      </c>
      <c r="G129" t="s">
        <v>58</v>
      </c>
      <c r="H129">
        <v>3</v>
      </c>
      <c r="I129">
        <v>0</v>
      </c>
      <c r="J129" t="str">
        <f t="shared" si="4"/>
        <v>H</v>
      </c>
      <c r="N129">
        <v>2.2999999999999998</v>
      </c>
      <c r="O129">
        <v>3.9</v>
      </c>
      <c r="P129">
        <v>2.95</v>
      </c>
      <c r="Q129">
        <v>2.21</v>
      </c>
      <c r="R129">
        <v>3.69</v>
      </c>
      <c r="S129">
        <v>2.81</v>
      </c>
      <c r="T129">
        <v>2.34</v>
      </c>
      <c r="U129">
        <v>4</v>
      </c>
      <c r="V129">
        <v>3</v>
      </c>
      <c r="W129">
        <v>2.15</v>
      </c>
      <c r="X129">
        <v>3.9</v>
      </c>
      <c r="Y129">
        <v>2.85</v>
      </c>
    </row>
    <row r="130" spans="1:25" x14ac:dyDescent="0.25">
      <c r="A130" t="s">
        <v>51</v>
      </c>
      <c r="B130" t="s">
        <v>52</v>
      </c>
      <c r="C130">
        <v>2026</v>
      </c>
      <c r="D130" s="1">
        <v>46117</v>
      </c>
      <c r="E130" s="2">
        <v>0.14583333333333334</v>
      </c>
      <c r="F130" t="s">
        <v>55</v>
      </c>
      <c r="G130" t="s">
        <v>56</v>
      </c>
      <c r="H130">
        <v>3</v>
      </c>
      <c r="I130">
        <v>2</v>
      </c>
      <c r="J130" t="str">
        <f t="shared" si="4"/>
        <v>H</v>
      </c>
      <c r="N130">
        <v>1.32</v>
      </c>
      <c r="O130">
        <v>6</v>
      </c>
      <c r="P130">
        <v>9.5</v>
      </c>
      <c r="Q130">
        <v>1.28</v>
      </c>
      <c r="R130">
        <v>5.72</v>
      </c>
      <c r="S130">
        <v>8.34</v>
      </c>
      <c r="T130">
        <v>1.33</v>
      </c>
      <c r="U130">
        <v>6.2</v>
      </c>
      <c r="V130">
        <v>9.8000000000000007</v>
      </c>
      <c r="W130">
        <v>1.27</v>
      </c>
      <c r="X130">
        <v>5.5</v>
      </c>
      <c r="Y130">
        <v>9.5</v>
      </c>
    </row>
  </sheetData>
  <sortState xmlns:xlrd2="http://schemas.microsoft.com/office/spreadsheetml/2017/richdata2" ref="A2:Y130">
    <sortCondition ref="A2:A130"/>
    <sortCondition ref="B2:B130"/>
    <sortCondition ref="C2:C130"/>
    <sortCondition ref="D2:D130"/>
    <sortCondition ref="E2:E130"/>
    <sortCondition ref="F2:F1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 Buchdahl</cp:lastModifiedBy>
  <dcterms:created xsi:type="dcterms:W3CDTF">2017-09-12T09:36:26Z</dcterms:created>
  <dcterms:modified xsi:type="dcterms:W3CDTF">2026-04-09T10:56:27Z</dcterms:modified>
</cp:coreProperties>
</file>